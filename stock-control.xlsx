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Movements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03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dxfs count="3">
    <dxf>
      <font>
        <color rgb="009C0006"/>
      </font>
      <fill>
        <patternFill patternType="solid">
          <fgColor rgb="00FFC7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006100"/>
      </font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1" customWidth="1" min="4" max="4"/>
    <col width="14" customWidth="1" min="5" max="5"/>
    <col width="13" customWidth="1" min="6" max="6"/>
    <col width="22" customWidth="1" min="7" max="7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Unit Cost</t>
        </is>
      </c>
      <c r="E1" s="1" t="inlineStr">
        <is>
          <t>Reorder Point</t>
        </is>
      </c>
      <c r="F1" s="1" t="inlineStr">
        <is>
          <t>Reorder Qty</t>
        </is>
      </c>
      <c r="G1" s="1" t="inlineStr">
        <is>
          <t>Supplier</t>
        </is>
      </c>
    </row>
    <row r="2">
      <c r="A2" t="inlineStr">
        <is>
          <t>SKU-1001</t>
        </is>
      </c>
      <c r="B2" t="inlineStr">
        <is>
          <t>Ceramic mug 350ml</t>
        </is>
      </c>
      <c r="C2" t="inlineStr">
        <is>
          <t>Drinkware</t>
        </is>
      </c>
      <c r="D2" s="2" t="n">
        <v>3.2</v>
      </c>
      <c r="E2" t="n">
        <v>40</v>
      </c>
      <c r="F2" t="n">
        <v>120</v>
      </c>
      <c r="G2" t="inlineStr">
        <is>
          <t>Northgate Supplies</t>
        </is>
      </c>
    </row>
    <row r="3">
      <c r="A3" t="inlineStr">
        <is>
          <t>SKU-1002</t>
        </is>
      </c>
      <c r="B3" t="inlineStr">
        <is>
          <t>Steel water bottle 750ml</t>
        </is>
      </c>
      <c r="C3" t="inlineStr">
        <is>
          <t>Drinkware</t>
        </is>
      </c>
      <c r="D3" s="2" t="n">
        <v>7.85</v>
      </c>
      <c r="E3" t="n">
        <v>25</v>
      </c>
      <c r="F3" t="n">
        <v>80</v>
      </c>
      <c r="G3" t="inlineStr">
        <is>
          <t>Northgate Supplies</t>
        </is>
      </c>
    </row>
    <row r="4">
      <c r="A4" t="inlineStr">
        <is>
          <t>SKU-1003</t>
        </is>
      </c>
      <c r="B4" t="inlineStr">
        <is>
          <t>Cotton tote bag</t>
        </is>
      </c>
      <c r="C4" t="inlineStr">
        <is>
          <t>Bags</t>
        </is>
      </c>
      <c r="D4" s="2" t="n">
        <v>2.4</v>
      </c>
      <c r="E4" t="n">
        <v>60</v>
      </c>
      <c r="F4" t="n">
        <v>200</v>
      </c>
      <c r="G4" t="inlineStr">
        <is>
          <t>Weaver &amp; Co</t>
        </is>
      </c>
    </row>
    <row r="5">
      <c r="A5" t="inlineStr">
        <is>
          <t>SKU-1004</t>
        </is>
      </c>
      <c r="B5" t="inlineStr">
        <is>
          <t>Laptop sleeve 14in</t>
        </is>
      </c>
      <c r="C5" t="inlineStr">
        <is>
          <t>Bags</t>
        </is>
      </c>
      <c r="D5" s="2" t="n">
        <v>11.5</v>
      </c>
      <c r="E5" t="n">
        <v>15</v>
      </c>
      <c r="F5" t="n">
        <v>50</v>
      </c>
      <c r="G5" t="inlineStr">
        <is>
          <t>Weaver &amp; Co</t>
        </is>
      </c>
    </row>
    <row r="6">
      <c r="A6" t="inlineStr">
        <is>
          <t>SKU-1005</t>
        </is>
      </c>
      <c r="B6" t="inlineStr">
        <is>
          <t>Notebook A5 dotted</t>
        </is>
      </c>
      <c r="C6" t="inlineStr">
        <is>
          <t>Stationery</t>
        </is>
      </c>
      <c r="D6" s="2" t="n">
        <v>1.95</v>
      </c>
      <c r="E6" t="n">
        <v>100</v>
      </c>
      <c r="F6" t="n">
        <v>300</v>
      </c>
      <c r="G6" t="inlineStr">
        <is>
          <t>Paper Mill Ltd</t>
        </is>
      </c>
    </row>
    <row r="7">
      <c r="A7" t="inlineStr">
        <is>
          <t>SKU-1006</t>
        </is>
      </c>
      <c r="B7" t="inlineStr">
        <is>
          <t>Gel pen black</t>
        </is>
      </c>
      <c r="C7" t="inlineStr">
        <is>
          <t>Stationery</t>
        </is>
      </c>
      <c r="D7" s="2" t="n">
        <v>0.45</v>
      </c>
      <c r="E7" t="n">
        <v>200</v>
      </c>
      <c r="F7" t="n">
        <v>500</v>
      </c>
      <c r="G7" t="inlineStr">
        <is>
          <t>Paper Mill Ltd</t>
        </is>
      </c>
    </row>
    <row r="8">
      <c r="A8" t="inlineStr">
        <is>
          <t>SKU-1007</t>
        </is>
      </c>
      <c r="B8" t="inlineStr">
        <is>
          <t>Desk lamp LED</t>
        </is>
      </c>
      <c r="C8" t="inlineStr">
        <is>
          <t>Lighting</t>
        </is>
      </c>
      <c r="D8" s="2" t="n">
        <v>16</v>
      </c>
      <c r="E8" t="n">
        <v>10</v>
      </c>
      <c r="F8" t="n">
        <v>40</v>
      </c>
      <c r="G8" t="inlineStr">
        <is>
          <t>Brightline</t>
        </is>
      </c>
    </row>
    <row r="9">
      <c r="A9" t="inlineStr">
        <is>
          <t>SKU-1008</t>
        </is>
      </c>
      <c r="B9" t="inlineStr">
        <is>
          <t>Cable organiser pack</t>
        </is>
      </c>
      <c r="C9" t="inlineStr">
        <is>
          <t>Desk</t>
        </is>
      </c>
      <c r="D9" s="2" t="n">
        <v>4.75</v>
      </c>
      <c r="E9" t="n">
        <v>30</v>
      </c>
      <c r="F9" t="n">
        <v>100</v>
      </c>
      <c r="G9" t="inlineStr">
        <is>
          <t>Brightline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14" customWidth="1" min="5" max="5"/>
  </cols>
  <sheetData>
    <row r="1">
      <c r="A1" s="1" t="inlineStr">
        <is>
          <t>Date</t>
        </is>
      </c>
      <c r="B1" s="1" t="inlineStr">
        <is>
          <t>SKU</t>
        </is>
      </c>
      <c r="C1" s="1" t="inlineStr">
        <is>
          <t>Type</t>
        </is>
      </c>
      <c r="D1" s="1" t="inlineStr">
        <is>
          <t>Qty</t>
        </is>
      </c>
      <c r="E1" s="1" t="inlineStr">
        <is>
          <t>Reference</t>
        </is>
      </c>
    </row>
    <row r="2">
      <c r="A2" s="3" t="n">
        <v>46235</v>
      </c>
      <c r="B2" t="inlineStr">
        <is>
          <t>SKU-1001</t>
        </is>
      </c>
      <c r="C2" t="inlineStr">
        <is>
          <t>IN</t>
        </is>
      </c>
      <c r="D2" t="n">
        <v>200</v>
      </c>
      <c r="E2" t="inlineStr">
        <is>
          <t>PO-4401</t>
        </is>
      </c>
    </row>
    <row r="3">
      <c r="A3" s="3" t="n">
        <v>46236</v>
      </c>
      <c r="B3" t="inlineStr">
        <is>
          <t>SKU-1002</t>
        </is>
      </c>
      <c r="C3" t="inlineStr">
        <is>
          <t>IN</t>
        </is>
      </c>
      <c r="D3" t="n">
        <v>100</v>
      </c>
      <c r="E3" t="inlineStr">
        <is>
          <t>PO-4402</t>
        </is>
      </c>
    </row>
    <row r="4">
      <c r="A4" s="3" t="n">
        <v>46237</v>
      </c>
      <c r="B4" t="inlineStr">
        <is>
          <t>SKU-1003</t>
        </is>
      </c>
      <c r="C4" t="inlineStr">
        <is>
          <t>IN</t>
        </is>
      </c>
      <c r="D4" t="n">
        <v>300</v>
      </c>
      <c r="E4" t="inlineStr">
        <is>
          <t>PO-4403</t>
        </is>
      </c>
    </row>
    <row r="5">
      <c r="A5" s="3" t="n">
        <v>46238</v>
      </c>
      <c r="B5" t="inlineStr">
        <is>
          <t>SKU-1001</t>
        </is>
      </c>
      <c r="C5" t="inlineStr">
        <is>
          <t>OUT</t>
        </is>
      </c>
      <c r="D5" t="n">
        <v>145</v>
      </c>
      <c r="E5" t="inlineStr">
        <is>
          <t>SO-9001</t>
        </is>
      </c>
    </row>
    <row r="6">
      <c r="A6" s="3" t="n">
        <v>46239</v>
      </c>
      <c r="B6" t="inlineStr">
        <is>
          <t>SKU-1004</t>
        </is>
      </c>
      <c r="C6" t="inlineStr">
        <is>
          <t>IN</t>
        </is>
      </c>
      <c r="D6" t="n">
        <v>60</v>
      </c>
      <c r="E6" t="inlineStr">
        <is>
          <t>PO-4404</t>
        </is>
      </c>
    </row>
    <row r="7">
      <c r="A7" s="3" t="n">
        <v>46240</v>
      </c>
      <c r="B7" t="inlineStr">
        <is>
          <t>SKU-1005</t>
        </is>
      </c>
      <c r="C7" t="inlineStr">
        <is>
          <t>IN</t>
        </is>
      </c>
      <c r="D7" t="n">
        <v>400</v>
      </c>
      <c r="E7" t="inlineStr">
        <is>
          <t>PO-4405</t>
        </is>
      </c>
    </row>
    <row r="8">
      <c r="A8" s="3" t="n">
        <v>46241</v>
      </c>
      <c r="B8" t="inlineStr">
        <is>
          <t>SKU-1002</t>
        </is>
      </c>
      <c r="C8" t="inlineStr">
        <is>
          <t>OUT</t>
        </is>
      </c>
      <c r="D8" t="n">
        <v>82</v>
      </c>
      <c r="E8" t="inlineStr">
        <is>
          <t>SO-9002</t>
        </is>
      </c>
    </row>
    <row r="9">
      <c r="A9" s="3" t="n">
        <v>46242</v>
      </c>
      <c r="B9" t="inlineStr">
        <is>
          <t>SKU-1006</t>
        </is>
      </c>
      <c r="C9" t="inlineStr">
        <is>
          <t>IN</t>
        </is>
      </c>
      <c r="D9" t="n">
        <v>800</v>
      </c>
      <c r="E9" t="inlineStr">
        <is>
          <t>PO-4406</t>
        </is>
      </c>
    </row>
    <row r="10">
      <c r="A10" s="3" t="n">
        <v>46243</v>
      </c>
      <c r="B10" t="inlineStr">
        <is>
          <t>SKU-1007</t>
        </is>
      </c>
      <c r="C10" t="inlineStr">
        <is>
          <t>IN</t>
        </is>
      </c>
      <c r="D10" t="n">
        <v>50</v>
      </c>
      <c r="E10" t="inlineStr">
        <is>
          <t>PO-4407</t>
        </is>
      </c>
    </row>
    <row r="11">
      <c r="A11" s="3" t="n">
        <v>46244</v>
      </c>
      <c r="B11" t="inlineStr">
        <is>
          <t>SKU-1003</t>
        </is>
      </c>
      <c r="C11" t="inlineStr">
        <is>
          <t>OUT</t>
        </is>
      </c>
      <c r="D11" t="n">
        <v>180</v>
      </c>
      <c r="E11" t="inlineStr">
        <is>
          <t>SO-9003</t>
        </is>
      </c>
    </row>
    <row r="12">
      <c r="A12" s="3" t="n">
        <v>46245</v>
      </c>
      <c r="B12" t="inlineStr">
        <is>
          <t>SKU-1008</t>
        </is>
      </c>
      <c r="C12" t="inlineStr">
        <is>
          <t>IN</t>
        </is>
      </c>
      <c r="D12" t="n">
        <v>150</v>
      </c>
      <c r="E12" t="inlineStr">
        <is>
          <t>PO-4408</t>
        </is>
      </c>
    </row>
    <row r="13">
      <c r="A13" s="3" t="n">
        <v>46247</v>
      </c>
      <c r="B13" t="inlineStr">
        <is>
          <t>SKU-1004</t>
        </is>
      </c>
      <c r="C13" t="inlineStr">
        <is>
          <t>OUT</t>
        </is>
      </c>
      <c r="D13" t="n">
        <v>60</v>
      </c>
      <c r="E13" t="inlineStr">
        <is>
          <t>SO-9004</t>
        </is>
      </c>
    </row>
    <row r="14">
      <c r="A14" s="3" t="n">
        <v>46249</v>
      </c>
      <c r="B14" t="inlineStr">
        <is>
          <t>SKU-1005</t>
        </is>
      </c>
      <c r="C14" t="inlineStr">
        <is>
          <t>OUT</t>
        </is>
      </c>
      <c r="D14" t="n">
        <v>150</v>
      </c>
      <c r="E14" t="inlineStr">
        <is>
          <t>SO-9005</t>
        </is>
      </c>
    </row>
    <row r="15">
      <c r="A15" s="3" t="n">
        <v>46251</v>
      </c>
      <c r="B15" t="inlineStr">
        <is>
          <t>SKU-1006</t>
        </is>
      </c>
      <c r="C15" t="inlineStr">
        <is>
          <t>OUT</t>
        </is>
      </c>
      <c r="D15" t="n">
        <v>540</v>
      </c>
      <c r="E15" t="inlineStr">
        <is>
          <t>SO-9006</t>
        </is>
      </c>
    </row>
    <row r="16">
      <c r="A16" s="3" t="n">
        <v>46253</v>
      </c>
      <c r="B16" t="inlineStr">
        <is>
          <t>SKU-1007</t>
        </is>
      </c>
      <c r="C16" t="inlineStr">
        <is>
          <t>OUT</t>
        </is>
      </c>
      <c r="D16" t="n">
        <v>44</v>
      </c>
      <c r="E16" t="inlineStr">
        <is>
          <t>SO-9007</t>
        </is>
      </c>
    </row>
    <row r="17">
      <c r="A17" s="3" t="n">
        <v>46255</v>
      </c>
      <c r="B17" t="inlineStr">
        <is>
          <t>SKU-1008</t>
        </is>
      </c>
      <c r="C17" t="inlineStr">
        <is>
          <t>OUT</t>
        </is>
      </c>
      <c r="D17" t="n">
        <v>35</v>
      </c>
      <c r="E17" t="inlineStr">
        <is>
          <t>SO-9008</t>
        </is>
      </c>
    </row>
    <row r="18">
      <c r="A18" s="3" t="n">
        <v>46256</v>
      </c>
      <c r="B18" t="inlineStr">
        <is>
          <t>SKU-1001</t>
        </is>
      </c>
      <c r="C18" t="inlineStr">
        <is>
          <t>IN</t>
        </is>
      </c>
      <c r="D18" t="n">
        <v>120</v>
      </c>
      <c r="E18" t="inlineStr">
        <is>
          <t>PO-4409</t>
        </is>
      </c>
    </row>
    <row r="19">
      <c r="A19" s="3" t="n">
        <v>46259</v>
      </c>
      <c r="B19" t="inlineStr">
        <is>
          <t>SKU-1005</t>
        </is>
      </c>
      <c r="C19" t="inlineStr">
        <is>
          <t>OUT</t>
        </is>
      </c>
      <c r="D19" t="n">
        <v>95</v>
      </c>
      <c r="E19" t="inlineStr">
        <is>
          <t>SO-9009</t>
        </is>
      </c>
    </row>
  </sheetData>
  <dataValidations count="1">
    <dataValidation sqref="C2:C218" showDropDown="0" showInputMessage="0" showErrorMessage="0" allowBlank="0" type="list">
      <formula1>"IN,OUT"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1" customWidth="1" min="3" max="3"/>
    <col width="10" customWidth="1" min="4" max="4"/>
    <col width="11" customWidth="1" min="5" max="5"/>
    <col width="14" customWidth="1" min="6" max="6"/>
    <col width="14" customWidth="1" min="7" max="7"/>
    <col width="13" customWidth="1" min="8" max="8"/>
  </cols>
  <sheetData>
    <row r="1">
      <c r="A1" s="1" t="inlineStr">
        <is>
          <t>SKU</t>
        </is>
      </c>
      <c r="B1" s="1" t="inlineStr">
        <is>
          <t>Description</t>
        </is>
      </c>
      <c r="C1" s="1" t="inlineStr">
        <is>
          <t>Received</t>
        </is>
      </c>
      <c r="D1" s="1" t="inlineStr">
        <is>
          <t>Issued</t>
        </is>
      </c>
      <c r="E1" s="1" t="inlineStr">
        <is>
          <t>On Hand</t>
        </is>
      </c>
      <c r="F1" s="1" t="inlineStr">
        <is>
          <t>Reorder Point</t>
        </is>
      </c>
      <c r="G1" s="1" t="inlineStr">
        <is>
          <t>Status</t>
        </is>
      </c>
      <c r="H1" s="1" t="inlineStr">
        <is>
          <t>Stock Value</t>
        </is>
      </c>
    </row>
    <row r="2">
      <c r="A2" t="inlineStr">
        <is>
          <t>SKU-1001</t>
        </is>
      </c>
      <c r="B2" t="inlineStr">
        <is>
          <t>Ceramic mug 350ml</t>
        </is>
      </c>
      <c r="C2">
        <f>SUMIFS(Movements!$D$2:$D$218,Movements!$B$2:$B$218,$A2,Movements!$C$2:$C$218,"IN")</f>
        <v/>
      </c>
      <c r="D2">
        <f>SUMIFS(Movements!$D$2:$D$218,Movements!$B$2:$B$218,$A2,Movements!$C$2:$C$218,"OUT")</f>
        <v/>
      </c>
      <c r="E2">
        <f>C2-D2</f>
        <v/>
      </c>
      <c r="F2">
        <f>VLOOKUP($A2,Items!$A:$G,5,FALSE)</f>
        <v/>
      </c>
      <c r="G2">
        <f>IF(E2&lt;=0,"OUT OF STOCK",IF(E2&lt;=F2,"REORDER","OK"))</f>
        <v/>
      </c>
      <c r="H2" s="2">
        <f>E2*VLOOKUP($A2,Items!$A:$G,4,FALSE)</f>
        <v/>
      </c>
    </row>
    <row r="3">
      <c r="A3" t="inlineStr">
        <is>
          <t>SKU-1002</t>
        </is>
      </c>
      <c r="B3" t="inlineStr">
        <is>
          <t>Steel water bottle 750ml</t>
        </is>
      </c>
      <c r="C3">
        <f>SUMIFS(Movements!$D$2:$D$218,Movements!$B$2:$B$218,$A3,Movements!$C$2:$C$218,"IN")</f>
        <v/>
      </c>
      <c r="D3">
        <f>SUMIFS(Movements!$D$2:$D$218,Movements!$B$2:$B$218,$A3,Movements!$C$2:$C$218,"OUT")</f>
        <v/>
      </c>
      <c r="E3">
        <f>C3-D3</f>
        <v/>
      </c>
      <c r="F3">
        <f>VLOOKUP($A3,Items!$A:$G,5,FALSE)</f>
        <v/>
      </c>
      <c r="G3">
        <f>IF(E3&lt;=0,"OUT OF STOCK",IF(E3&lt;=F3,"REORDER","OK"))</f>
        <v/>
      </c>
      <c r="H3" s="2">
        <f>E3*VLOOKUP($A3,Items!$A:$G,4,FALSE)</f>
        <v/>
      </c>
    </row>
    <row r="4">
      <c r="A4" t="inlineStr">
        <is>
          <t>SKU-1003</t>
        </is>
      </c>
      <c r="B4" t="inlineStr">
        <is>
          <t>Cotton tote bag</t>
        </is>
      </c>
      <c r="C4">
        <f>SUMIFS(Movements!$D$2:$D$218,Movements!$B$2:$B$218,$A4,Movements!$C$2:$C$218,"IN")</f>
        <v/>
      </c>
      <c r="D4">
        <f>SUMIFS(Movements!$D$2:$D$218,Movements!$B$2:$B$218,$A4,Movements!$C$2:$C$218,"OUT")</f>
        <v/>
      </c>
      <c r="E4">
        <f>C4-D4</f>
        <v/>
      </c>
      <c r="F4">
        <f>VLOOKUP($A4,Items!$A:$G,5,FALSE)</f>
        <v/>
      </c>
      <c r="G4">
        <f>IF(E4&lt;=0,"OUT OF STOCK",IF(E4&lt;=F4,"REORDER","OK"))</f>
        <v/>
      </c>
      <c r="H4" s="2">
        <f>E4*VLOOKUP($A4,Items!$A:$G,4,FALSE)</f>
        <v/>
      </c>
    </row>
    <row r="5">
      <c r="A5" t="inlineStr">
        <is>
          <t>SKU-1004</t>
        </is>
      </c>
      <c r="B5" t="inlineStr">
        <is>
          <t>Laptop sleeve 14in</t>
        </is>
      </c>
      <c r="C5">
        <f>SUMIFS(Movements!$D$2:$D$218,Movements!$B$2:$B$218,$A5,Movements!$C$2:$C$218,"IN")</f>
        <v/>
      </c>
      <c r="D5">
        <f>SUMIFS(Movements!$D$2:$D$218,Movements!$B$2:$B$218,$A5,Movements!$C$2:$C$218,"OUT")</f>
        <v/>
      </c>
      <c r="E5">
        <f>C5-D5</f>
        <v/>
      </c>
      <c r="F5">
        <f>VLOOKUP($A5,Items!$A:$G,5,FALSE)</f>
        <v/>
      </c>
      <c r="G5">
        <f>IF(E5&lt;=0,"OUT OF STOCK",IF(E5&lt;=F5,"REORDER","OK"))</f>
        <v/>
      </c>
      <c r="H5" s="2">
        <f>E5*VLOOKUP($A5,Items!$A:$G,4,FALSE)</f>
        <v/>
      </c>
    </row>
    <row r="6">
      <c r="A6" t="inlineStr">
        <is>
          <t>SKU-1005</t>
        </is>
      </c>
      <c r="B6" t="inlineStr">
        <is>
          <t>Notebook A5 dotted</t>
        </is>
      </c>
      <c r="C6">
        <f>SUMIFS(Movements!$D$2:$D$218,Movements!$B$2:$B$218,$A6,Movements!$C$2:$C$218,"IN")</f>
        <v/>
      </c>
      <c r="D6">
        <f>SUMIFS(Movements!$D$2:$D$218,Movements!$B$2:$B$218,$A6,Movements!$C$2:$C$218,"OUT")</f>
        <v/>
      </c>
      <c r="E6">
        <f>C6-D6</f>
        <v/>
      </c>
      <c r="F6">
        <f>VLOOKUP($A6,Items!$A:$G,5,FALSE)</f>
        <v/>
      </c>
      <c r="G6">
        <f>IF(E6&lt;=0,"OUT OF STOCK",IF(E6&lt;=F6,"REORDER","OK"))</f>
        <v/>
      </c>
      <c r="H6" s="2">
        <f>E6*VLOOKUP($A6,Items!$A:$G,4,FALSE)</f>
        <v/>
      </c>
    </row>
    <row r="7">
      <c r="A7" t="inlineStr">
        <is>
          <t>SKU-1006</t>
        </is>
      </c>
      <c r="B7" t="inlineStr">
        <is>
          <t>Gel pen black</t>
        </is>
      </c>
      <c r="C7">
        <f>SUMIFS(Movements!$D$2:$D$218,Movements!$B$2:$B$218,$A7,Movements!$C$2:$C$218,"IN")</f>
        <v/>
      </c>
      <c r="D7">
        <f>SUMIFS(Movements!$D$2:$D$218,Movements!$B$2:$B$218,$A7,Movements!$C$2:$C$218,"OUT")</f>
        <v/>
      </c>
      <c r="E7">
        <f>C7-D7</f>
        <v/>
      </c>
      <c r="F7">
        <f>VLOOKUP($A7,Items!$A:$G,5,FALSE)</f>
        <v/>
      </c>
      <c r="G7">
        <f>IF(E7&lt;=0,"OUT OF STOCK",IF(E7&lt;=F7,"REORDER","OK"))</f>
        <v/>
      </c>
      <c r="H7" s="2">
        <f>E7*VLOOKUP($A7,Items!$A:$G,4,FALSE)</f>
        <v/>
      </c>
    </row>
    <row r="8">
      <c r="A8" t="inlineStr">
        <is>
          <t>SKU-1007</t>
        </is>
      </c>
      <c r="B8" t="inlineStr">
        <is>
          <t>Desk lamp LED</t>
        </is>
      </c>
      <c r="C8">
        <f>SUMIFS(Movements!$D$2:$D$218,Movements!$B$2:$B$218,$A8,Movements!$C$2:$C$218,"IN")</f>
        <v/>
      </c>
      <c r="D8">
        <f>SUMIFS(Movements!$D$2:$D$218,Movements!$B$2:$B$218,$A8,Movements!$C$2:$C$218,"OUT")</f>
        <v/>
      </c>
      <c r="E8">
        <f>C8-D8</f>
        <v/>
      </c>
      <c r="F8">
        <f>VLOOKUP($A8,Items!$A:$G,5,FALSE)</f>
        <v/>
      </c>
      <c r="G8">
        <f>IF(E8&lt;=0,"OUT OF STOCK",IF(E8&lt;=F8,"REORDER","OK"))</f>
        <v/>
      </c>
      <c r="H8" s="2">
        <f>E8*VLOOKUP($A8,Items!$A:$G,4,FALSE)</f>
        <v/>
      </c>
    </row>
    <row r="9">
      <c r="A9" t="inlineStr">
        <is>
          <t>SKU-1008</t>
        </is>
      </c>
      <c r="B9" t="inlineStr">
        <is>
          <t>Cable organiser pack</t>
        </is>
      </c>
      <c r="C9">
        <f>SUMIFS(Movements!$D$2:$D$218,Movements!$B$2:$B$218,$A9,Movements!$C$2:$C$218,"IN")</f>
        <v/>
      </c>
      <c r="D9">
        <f>SUMIFS(Movements!$D$2:$D$218,Movements!$B$2:$B$218,$A9,Movements!$C$2:$C$218,"OUT")</f>
        <v/>
      </c>
      <c r="E9">
        <f>C9-D9</f>
        <v/>
      </c>
      <c r="F9">
        <f>VLOOKUP($A9,Items!$A:$G,5,FALSE)</f>
        <v/>
      </c>
      <c r="G9">
        <f>IF(E9&lt;=0,"OUT OF STOCK",IF(E9&lt;=F9,"REORDER","OK"))</f>
        <v/>
      </c>
      <c r="H9" s="2">
        <f>E9*VLOOKUP($A9,Items!$A:$G,4,FALSE)</f>
        <v/>
      </c>
    </row>
    <row r="10">
      <c r="B10" s="4" t="inlineStr">
        <is>
          <t>TOTAL</t>
        </is>
      </c>
      <c r="H10" s="5">
        <f>SUM(H2:H9)</f>
        <v/>
      </c>
    </row>
  </sheetData>
  <conditionalFormatting sqref="G2:G9">
    <cfRule type="cellIs" priority="1" operator="equal" dxfId="0">
      <formula>"OUT OF STOCK"</formula>
    </cfRule>
    <cfRule type="cellIs" priority="2" operator="equal" dxfId="1">
      <formula>"REORDER"</formula>
    </cfRule>
    <cfRule type="cellIs" priority="3" operator="equal" dxfId="2">
      <formula>"OK"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Sheet That Works</dc:creator>
  <dc:title xmlns:dc="http://purl.org/dc/elements/1.1/">Stock Control Spreadsheet</dc:title>
  <dcterms:created xmlns:dcterms="http://purl.org/dc/terms/" xmlns:xsi="http://www.w3.org/2001/XMLSchema-instance" xsi:type="dcterms:W3CDTF">2026-09-22T17:41:16Z</dcterms:created>
  <dcterms:modified xmlns:dcterms="http://purl.org/dc/terms/" xmlns:xsi="http://www.w3.org/2001/XMLSchema-instance" xsi:type="dcterms:W3CDTF">2026-09-22T17:41:16Z</dcterms:modified>
  <cp:lastModifiedBy>Sheet That Works</cp:lastModifiedBy>
</cp:coreProperties>
</file>