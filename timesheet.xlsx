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P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dxfs count="1">
    <dxf>
      <font>
        <color rgb="009C57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3" customWidth="1" min="3" max="3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Hourly Rate</t>
        </is>
      </c>
    </row>
    <row r="2">
      <c r="A2" t="inlineStr">
        <is>
          <t>Ana Ruiz</t>
        </is>
      </c>
      <c r="B2" t="inlineStr">
        <is>
          <t>Barista</t>
        </is>
      </c>
      <c r="C2" s="2" t="n">
        <v>14.5</v>
      </c>
    </row>
    <row r="3">
      <c r="A3" t="inlineStr">
        <is>
          <t>Ben Cole</t>
        </is>
      </c>
      <c r="B3" t="inlineStr">
        <is>
          <t>Barista</t>
        </is>
      </c>
      <c r="C3" s="2" t="n">
        <v>14.5</v>
      </c>
    </row>
    <row r="4">
      <c r="A4" t="inlineStr">
        <is>
          <t>Chris Day</t>
        </is>
      </c>
      <c r="B4" t="inlineStr">
        <is>
          <t>Shift lead</t>
        </is>
      </c>
      <c r="C4" s="2" t="n">
        <v>17.25</v>
      </c>
    </row>
    <row r="5">
      <c r="A5" t="inlineStr">
        <is>
          <t>Dina Petrou</t>
        </is>
      </c>
      <c r="B5" t="inlineStr">
        <is>
          <t>Kitchen</t>
        </is>
      </c>
      <c r="C5" s="2" t="n">
        <v>15.75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9" customWidth="1" min="4" max="4"/>
    <col width="13" customWidth="1" min="5" max="5"/>
    <col width="10" customWidth="1" min="6" max="6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Hours</t>
        </is>
      </c>
    </row>
    <row r="2">
      <c r="A2" s="3" t="n">
        <v>46272</v>
      </c>
      <c r="B2" t="inlineStr">
        <is>
          <t>Ana Ruiz</t>
        </is>
      </c>
      <c r="C2" s="4" t="n">
        <v>0.2916666666666667</v>
      </c>
      <c r="D2" s="4" t="n">
        <v>0.6458333333333334</v>
      </c>
      <c r="E2" t="n">
        <v>30</v>
      </c>
      <c r="F2" s="5">
        <f>(IF(D2&lt;C2,D2+1,D2)-C2)*24-E2/60</f>
        <v/>
      </c>
    </row>
    <row r="3">
      <c r="A3" s="3" t="n">
        <v>46272</v>
      </c>
      <c r="B3" t="inlineStr">
        <is>
          <t>Ben Cole</t>
        </is>
      </c>
      <c r="C3" s="4" t="n">
        <v>0.625</v>
      </c>
      <c r="D3" s="4" t="n">
        <v>0.9583333333333334</v>
      </c>
      <c r="E3" t="n">
        <v>30</v>
      </c>
      <c r="F3" s="5">
        <f>(IF(D3&lt;C3,D3+1,D3)-C3)*24-E3/60</f>
        <v/>
      </c>
    </row>
    <row r="4">
      <c r="A4" s="3" t="n">
        <v>46272</v>
      </c>
      <c r="B4" t="inlineStr">
        <is>
          <t>Chris Day</t>
        </is>
      </c>
      <c r="C4" s="4" t="n">
        <v>0.2916666666666667</v>
      </c>
      <c r="D4" s="4" t="n">
        <v>0.6666666666666666</v>
      </c>
      <c r="E4" t="n">
        <v>45</v>
      </c>
      <c r="F4" s="5">
        <f>(IF(D4&lt;C4,D4+1,D4)-C4)*24-E4/60</f>
        <v/>
      </c>
    </row>
    <row r="5">
      <c r="A5" s="3" t="n">
        <v>46272</v>
      </c>
      <c r="B5" t="inlineStr">
        <is>
          <t>Dina Petrou</t>
        </is>
      </c>
      <c r="C5" s="4" t="n">
        <v>0.4166666666666667</v>
      </c>
      <c r="D5" s="4" t="n">
        <v>0.75</v>
      </c>
      <c r="E5" t="n">
        <v>30</v>
      </c>
      <c r="F5" s="5">
        <f>(IF(D5&lt;C5,D5+1,D5)-C5)*24-E5/60</f>
        <v/>
      </c>
    </row>
    <row r="6">
      <c r="A6" s="3" t="n">
        <v>46273</v>
      </c>
      <c r="B6" t="inlineStr">
        <is>
          <t>Ana Ruiz</t>
        </is>
      </c>
      <c r="C6" s="4" t="n">
        <v>0.2916666666666667</v>
      </c>
      <c r="D6" s="4" t="n">
        <v>0.6458333333333334</v>
      </c>
      <c r="E6" t="n">
        <v>30</v>
      </c>
      <c r="F6" s="5">
        <f>(IF(D6&lt;C6,D6+1,D6)-C6)*24-E6/60</f>
        <v/>
      </c>
    </row>
    <row r="7">
      <c r="A7" s="3" t="n">
        <v>46273</v>
      </c>
      <c r="B7" t="inlineStr">
        <is>
          <t>Ben Cole</t>
        </is>
      </c>
      <c r="C7" s="4" t="n">
        <v>0.625</v>
      </c>
      <c r="D7" s="4" t="n">
        <v>0.9791666666666666</v>
      </c>
      <c r="E7" t="n">
        <v>30</v>
      </c>
      <c r="F7" s="5">
        <f>(IF(D7&lt;C7,D7+1,D7)-C7)*24-E7/60</f>
        <v/>
      </c>
    </row>
    <row r="8">
      <c r="A8" s="3" t="n">
        <v>46273</v>
      </c>
      <c r="B8" t="inlineStr">
        <is>
          <t>Chris Day</t>
        </is>
      </c>
      <c r="C8" s="4" t="n">
        <v>0.2916666666666667</v>
      </c>
      <c r="D8" s="4" t="n">
        <v>0.6666666666666666</v>
      </c>
      <c r="E8" t="n">
        <v>45</v>
      </c>
      <c r="F8" s="5">
        <f>(IF(D8&lt;C8,D8+1,D8)-C8)*24-E8/60</f>
        <v/>
      </c>
    </row>
    <row r="9">
      <c r="A9" s="3" t="n">
        <v>46274</v>
      </c>
      <c r="B9" t="inlineStr">
        <is>
          <t>Ana Ruiz</t>
        </is>
      </c>
      <c r="C9" s="4" t="n">
        <v>0.2916666666666667</v>
      </c>
      <c r="D9" s="4" t="n">
        <v>0.6666666666666666</v>
      </c>
      <c r="E9" t="n">
        <v>30</v>
      </c>
      <c r="F9" s="5">
        <f>(IF(D9&lt;C9,D9+1,D9)-C9)*24-E9/60</f>
        <v/>
      </c>
    </row>
    <row r="10">
      <c r="A10" s="3" t="n">
        <v>46274</v>
      </c>
      <c r="B10" t="inlineStr">
        <is>
          <t>Dina Petrou</t>
        </is>
      </c>
      <c r="C10" s="4" t="n">
        <v>0.4166666666666667</v>
      </c>
      <c r="D10" s="4" t="n">
        <v>0.7708333333333334</v>
      </c>
      <c r="E10" t="n">
        <v>30</v>
      </c>
      <c r="F10" s="5">
        <f>(IF(D10&lt;C10,D10+1,D10)-C10)*24-E10/60</f>
        <v/>
      </c>
    </row>
    <row r="11">
      <c r="A11" s="3" t="n">
        <v>46274</v>
      </c>
      <c r="B11" t="inlineStr">
        <is>
          <t>Chris Day</t>
        </is>
      </c>
      <c r="C11" s="4" t="n">
        <v>0.5</v>
      </c>
      <c r="D11" s="4" t="n">
        <v>0.875</v>
      </c>
      <c r="E11" t="n">
        <v>45</v>
      </c>
      <c r="F11" s="5">
        <f>(IF(D11&lt;C11,D11+1,D11)-C11)*24-E11/60</f>
        <v/>
      </c>
    </row>
    <row r="12">
      <c r="A12" s="3" t="n">
        <v>46275</v>
      </c>
      <c r="B12" t="inlineStr">
        <is>
          <t>Ana Ruiz</t>
        </is>
      </c>
      <c r="C12" s="4" t="n">
        <v>0.2916666666666667</v>
      </c>
      <c r="D12" s="4" t="n">
        <v>0.6458333333333334</v>
      </c>
      <c r="E12" t="n">
        <v>30</v>
      </c>
      <c r="F12" s="5">
        <f>(IF(D12&lt;C12,D12+1,D12)-C12)*24-E12/60</f>
        <v/>
      </c>
    </row>
    <row r="13">
      <c r="A13" s="3" t="n">
        <v>46275</v>
      </c>
      <c r="B13" t="inlineStr">
        <is>
          <t>Ben Cole</t>
        </is>
      </c>
      <c r="C13" s="4" t="n">
        <v>0.625</v>
      </c>
      <c r="D13" s="4" t="n">
        <v>0.9583333333333334</v>
      </c>
      <c r="E13" t="n">
        <v>30</v>
      </c>
      <c r="F13" s="5">
        <f>(IF(D13&lt;C13,D13+1,D13)-C13)*24-E13/60</f>
        <v/>
      </c>
    </row>
    <row r="14">
      <c r="A14" s="3" t="n">
        <v>46275</v>
      </c>
      <c r="B14" t="inlineStr">
        <is>
          <t>Chris Day</t>
        </is>
      </c>
      <c r="C14" s="4" t="n">
        <v>0.2916666666666667</v>
      </c>
      <c r="D14" s="4" t="n">
        <v>0.6666666666666666</v>
      </c>
      <c r="E14" t="n">
        <v>45</v>
      </c>
      <c r="F14" s="5">
        <f>(IF(D14&lt;C14,D14+1,D14)-C14)*24-E14/60</f>
        <v/>
      </c>
    </row>
    <row r="15">
      <c r="A15" s="3" t="n">
        <v>46276</v>
      </c>
      <c r="B15" t="inlineStr">
        <is>
          <t>Ana Ruiz</t>
        </is>
      </c>
      <c r="C15" s="4" t="n">
        <v>0.2916666666666667</v>
      </c>
      <c r="D15" s="4" t="n">
        <v>0.7083333333333334</v>
      </c>
      <c r="E15" t="n">
        <v>30</v>
      </c>
      <c r="F15" s="5">
        <f>(IF(D15&lt;C15,D15+1,D15)-C15)*24-E15/60</f>
        <v/>
      </c>
    </row>
    <row r="16">
      <c r="A16" s="3" t="n">
        <v>46276</v>
      </c>
      <c r="B16" t="inlineStr">
        <is>
          <t>Ben Cole</t>
        </is>
      </c>
      <c r="C16" s="4" t="n">
        <v>0.6666666666666666</v>
      </c>
      <c r="D16" s="4" t="n">
        <v>0.9993055555555556</v>
      </c>
      <c r="E16" t="n">
        <v>30</v>
      </c>
      <c r="F16" s="5">
        <f>(IF(D16&lt;C16,D16+1,D16)-C16)*24-E16/60</f>
        <v/>
      </c>
    </row>
    <row r="17">
      <c r="A17" s="3" t="n">
        <v>46276</v>
      </c>
      <c r="B17" t="inlineStr">
        <is>
          <t>Dina Petrou</t>
        </is>
      </c>
      <c r="C17" s="4" t="n">
        <v>0.4166666666666667</v>
      </c>
      <c r="D17" s="4" t="n">
        <v>0.75</v>
      </c>
      <c r="E17" t="n">
        <v>30</v>
      </c>
      <c r="F17" s="5">
        <f>(IF(D17&lt;C17,D17+1,D17)-C17)*24-E17/60</f>
        <v/>
      </c>
    </row>
    <row r="18">
      <c r="A18" s="3" t="n">
        <v>46277</v>
      </c>
      <c r="B18" t="inlineStr">
        <is>
          <t>Chris Day</t>
        </is>
      </c>
      <c r="C18" s="4" t="n">
        <v>0.75</v>
      </c>
      <c r="D18" s="4" t="n">
        <v>0.08333333333333333</v>
      </c>
      <c r="E18" t="n">
        <v>30</v>
      </c>
      <c r="F18" s="5">
        <f>(IF(D18&lt;C18,D18+1,D18)-C18)*24-E18/60</f>
        <v/>
      </c>
    </row>
    <row r="19">
      <c r="A19" s="3" t="n">
        <v>46277</v>
      </c>
      <c r="B19" t="inlineStr">
        <is>
          <t>Ben Cole</t>
        </is>
      </c>
      <c r="C19" s="4" t="n">
        <v>0.5</v>
      </c>
      <c r="D19" s="4" t="n">
        <v>0.8333333333333334</v>
      </c>
      <c r="E19" t="n">
        <v>30</v>
      </c>
      <c r="F19" s="5">
        <f>(IF(D19&lt;C19,D19+1,D19)-C19)*24-E19/60</f>
        <v/>
      </c>
    </row>
    <row r="20">
      <c r="A20" s="3" t="n">
        <v>46277</v>
      </c>
      <c r="B20" t="inlineStr">
        <is>
          <t>Ana Ruiz</t>
        </is>
      </c>
      <c r="C20" s="4" t="n">
        <v>0.2916666666666667</v>
      </c>
      <c r="D20" s="4" t="n">
        <v>0.625</v>
      </c>
      <c r="E20" t="n">
        <v>30</v>
      </c>
      <c r="F20" s="5">
        <f>(IF(D20&lt;C20,D20+1,D20)-C20)*24-E20/60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  <col width="11" customWidth="1" min="4" max="4"/>
    <col width="9" customWidth="1" min="5" max="5"/>
    <col width="13" customWidth="1" min="6" max="6"/>
    <col width="14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Total Hours</t>
        </is>
      </c>
      <c r="C1" s="1" t="inlineStr">
        <is>
          <t>Regular</t>
        </is>
      </c>
      <c r="D1" s="1" t="inlineStr">
        <is>
          <t>Overtime</t>
        </is>
      </c>
      <c r="E1" s="1" t="inlineStr">
        <is>
          <t>Rate</t>
        </is>
      </c>
      <c r="F1" s="1" t="inlineStr">
        <is>
          <t>Regular Pay</t>
        </is>
      </c>
      <c r="G1" s="1" t="inlineStr">
        <is>
          <t>Overtime Pay</t>
        </is>
      </c>
      <c r="H1" s="1" t="inlineStr">
        <is>
          <t>Total Pay</t>
        </is>
      </c>
    </row>
    <row r="2">
      <c r="A2" t="inlineStr">
        <is>
          <t>Ana Ruiz</t>
        </is>
      </c>
      <c r="B2" s="5">
        <f>SUMIFS(Shifts!$F$2:$F$219,Shifts!$B$2:$B$219,$A2)</f>
        <v/>
      </c>
      <c r="C2" s="5">
        <f>MIN(B2,40)</f>
        <v/>
      </c>
      <c r="D2" s="5">
        <f>MAX(B2-40,0)</f>
        <v/>
      </c>
      <c r="E2" s="2">
        <f>VLOOKUP($A2,Staff!$A:$C,3,FALSE)</f>
        <v/>
      </c>
      <c r="F2" s="2">
        <f>C2*E2</f>
        <v/>
      </c>
      <c r="G2" s="2">
        <f>D2*E2*1.5</f>
        <v/>
      </c>
      <c r="H2" s="2">
        <f>F2+G2</f>
        <v/>
      </c>
    </row>
    <row r="3">
      <c r="A3" t="inlineStr">
        <is>
          <t>Ben Cole</t>
        </is>
      </c>
      <c r="B3" s="5">
        <f>SUMIFS(Shifts!$F$2:$F$219,Shifts!$B$2:$B$219,$A3)</f>
        <v/>
      </c>
      <c r="C3" s="5">
        <f>MIN(B3,40)</f>
        <v/>
      </c>
      <c r="D3" s="5">
        <f>MAX(B3-40,0)</f>
        <v/>
      </c>
      <c r="E3" s="2">
        <f>VLOOKUP($A3,Staff!$A:$C,3,FALSE)</f>
        <v/>
      </c>
      <c r="F3" s="2">
        <f>C3*E3</f>
        <v/>
      </c>
      <c r="G3" s="2">
        <f>D3*E3*1.5</f>
        <v/>
      </c>
      <c r="H3" s="2">
        <f>F3+G3</f>
        <v/>
      </c>
    </row>
    <row r="4">
      <c r="A4" t="inlineStr">
        <is>
          <t>Chris Day</t>
        </is>
      </c>
      <c r="B4" s="5">
        <f>SUMIFS(Shifts!$F$2:$F$219,Shifts!$B$2:$B$219,$A4)</f>
        <v/>
      </c>
      <c r="C4" s="5">
        <f>MIN(B4,40)</f>
        <v/>
      </c>
      <c r="D4" s="5">
        <f>MAX(B4-40,0)</f>
        <v/>
      </c>
      <c r="E4" s="2">
        <f>VLOOKUP($A4,Staff!$A:$C,3,FALSE)</f>
        <v/>
      </c>
      <c r="F4" s="2">
        <f>C4*E4</f>
        <v/>
      </c>
      <c r="G4" s="2">
        <f>D4*E4*1.5</f>
        <v/>
      </c>
      <c r="H4" s="2">
        <f>F4+G4</f>
        <v/>
      </c>
    </row>
    <row r="5">
      <c r="A5" t="inlineStr">
        <is>
          <t>Dina Petrou</t>
        </is>
      </c>
      <c r="B5" s="5">
        <f>SUMIFS(Shifts!$F$2:$F$219,Shifts!$B$2:$B$219,$A5)</f>
        <v/>
      </c>
      <c r="C5" s="5">
        <f>MIN(B5,40)</f>
        <v/>
      </c>
      <c r="D5" s="5">
        <f>MAX(B5-40,0)</f>
        <v/>
      </c>
      <c r="E5" s="2">
        <f>VLOOKUP($A5,Staff!$A:$C,3,FALSE)</f>
        <v/>
      </c>
      <c r="F5" s="2">
        <f>C5*E5</f>
        <v/>
      </c>
      <c r="G5" s="2">
        <f>D5*E5*1.5</f>
        <v/>
      </c>
      <c r="H5" s="2">
        <f>F5+G5</f>
        <v/>
      </c>
    </row>
    <row r="6">
      <c r="A6" s="6" t="inlineStr">
        <is>
          <t>TOTAL</t>
        </is>
      </c>
      <c r="B6" s="7">
        <f>SUM(B2:B5)</f>
        <v/>
      </c>
      <c r="F6" s="8">
        <f>SUM(F2:F5)</f>
        <v/>
      </c>
      <c r="G6" s="8">
        <f>SUM(G2:G5)</f>
        <v/>
      </c>
      <c r="H6" s="8">
        <f>SUM(H2:H5)</f>
        <v/>
      </c>
    </row>
  </sheetData>
  <conditionalFormatting sqref="D2:D5">
    <cfRule type="cellIs" priority="1" operator="greater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Sheet That Works</dc:creator>
  <dc:title xmlns:dc="http://purl.org/dc/elements/1.1/">Weekly Timesheet with Overtime</dc:title>
  <dcterms:created xmlns:dcterms="http://purl.org/dc/terms/" xmlns:xsi="http://www.w3.org/2001/XMLSchema-instance" xsi:type="dcterms:W3CDTF">2026-09-22T18:35:25Z</dcterms:created>
  <dcterms:modified xmlns:dcterms="http://purl.org/dc/terms/" xmlns:xsi="http://www.w3.org/2001/XMLSchema-instance" xsi:type="dcterms:W3CDTF">2026-09-22T18:35:25Z</dcterms:modified>
  <cp:lastModifiedBy>Sheet That Works</cp:lastModifiedBy>
</cp:coreProperties>
</file>