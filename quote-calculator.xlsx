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0" fontId="2" fillId="3" borderId="0" pivotButton="0" quotePrefix="0" xfId="0"/>
    <xf numFmtId="10" fontId="0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" customWidth="1" min="3" max="3"/>
    <col width="14" customWidth="1" min="4" max="4"/>
  </cols>
  <sheetData>
    <row r="1">
      <c r="A1" s="1" t="inlineStr">
        <is>
          <t>Role</t>
        </is>
      </c>
      <c r="B1" s="1" t="inlineStr">
        <is>
          <t>Hourly rate</t>
        </is>
      </c>
      <c r="D1" s="1" t="inlineStr">
        <is>
          <t>Type</t>
        </is>
      </c>
    </row>
    <row r="2">
      <c r="A2" t="inlineStr">
        <is>
          <t>Survey and drawings</t>
        </is>
      </c>
      <c r="B2" s="2" t="n">
        <v>45</v>
      </c>
      <c r="D2" t="inlineStr">
        <is>
          <t>Materials</t>
        </is>
      </c>
    </row>
    <row r="3">
      <c r="A3" t="inlineStr">
        <is>
          <t>Fabrication</t>
        </is>
      </c>
      <c r="B3" s="2" t="n">
        <v>52</v>
      </c>
      <c r="D3" t="inlineStr">
        <is>
          <t>Labour</t>
        </is>
      </c>
    </row>
    <row r="4">
      <c r="A4" t="inlineStr">
        <is>
          <t>Installation</t>
        </is>
      </c>
      <c r="B4" s="2" t="n">
        <v>48</v>
      </c>
      <c r="D4" t="inlineStr">
        <is>
          <t>Subcontract</t>
        </is>
      </c>
    </row>
    <row r="5">
      <c r="A5" t="inlineStr">
        <is>
          <t>Snagging</t>
        </is>
      </c>
      <c r="B5" s="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3" customWidth="1" min="5" max="5"/>
  </cols>
  <sheetData>
    <row r="1">
      <c r="A1" s="1" t="inlineStr">
        <is>
          <t>Item</t>
        </is>
      </c>
      <c r="B1" s="1" t="inlineStr">
        <is>
          <t>Type</t>
        </is>
      </c>
      <c r="C1" s="1" t="inlineStr">
        <is>
          <t>Qty or hours</t>
        </is>
      </c>
      <c r="D1" s="1" t="inlineStr">
        <is>
          <t>Unit cost</t>
        </is>
      </c>
      <c r="E1" s="1" t="inlineStr">
        <is>
          <t>Line cost</t>
        </is>
      </c>
    </row>
    <row r="2">
      <c r="A2" t="inlineStr">
        <is>
          <t>Oak worktop</t>
        </is>
      </c>
      <c r="B2" t="inlineStr">
        <is>
          <t>Materials</t>
        </is>
      </c>
      <c r="C2" t="n">
        <v>2</v>
      </c>
      <c r="D2" s="2" t="n">
        <v>340</v>
      </c>
      <c r="E2" s="2">
        <f>C2*D2</f>
        <v/>
      </c>
    </row>
    <row r="3">
      <c r="A3" t="inlineStr">
        <is>
          <t>Carcasses</t>
        </is>
      </c>
      <c r="B3" t="inlineStr">
        <is>
          <t>Materials</t>
        </is>
      </c>
      <c r="C3" t="n">
        <v>8</v>
      </c>
      <c r="D3" s="2" t="n">
        <v>95</v>
      </c>
      <c r="E3" s="2">
        <f>C3*D3</f>
        <v/>
      </c>
    </row>
    <row r="4">
      <c r="A4" t="inlineStr">
        <is>
          <t>Ironmongery</t>
        </is>
      </c>
      <c r="B4" t="inlineStr">
        <is>
          <t>Materials</t>
        </is>
      </c>
      <c r="C4" t="n">
        <v>1</v>
      </c>
      <c r="D4" s="2" t="n">
        <v>220</v>
      </c>
      <c r="E4" s="2">
        <f>C4*D4</f>
        <v/>
      </c>
    </row>
    <row r="5">
      <c r="A5" t="inlineStr">
        <is>
          <t>Paint and finish</t>
        </is>
      </c>
      <c r="B5" t="inlineStr">
        <is>
          <t>Materials</t>
        </is>
      </c>
      <c r="C5" t="n">
        <v>4</v>
      </c>
      <c r="D5" s="2" t="n">
        <v>38</v>
      </c>
      <c r="E5" s="2">
        <f>C5*D5</f>
        <v/>
      </c>
    </row>
    <row r="6">
      <c r="A6" t="inlineStr">
        <is>
          <t>Survey and drawings</t>
        </is>
      </c>
      <c r="B6" t="inlineStr">
        <is>
          <t>Labour</t>
        </is>
      </c>
      <c r="C6" t="n">
        <v>4</v>
      </c>
      <c r="D6" s="2" t="n">
        <v>45</v>
      </c>
      <c r="E6" s="2">
        <f>C6*D6</f>
        <v/>
      </c>
    </row>
    <row r="7">
      <c r="A7" t="inlineStr">
        <is>
          <t>Fabrication</t>
        </is>
      </c>
      <c r="B7" t="inlineStr">
        <is>
          <t>Labour</t>
        </is>
      </c>
      <c r="C7" t="n">
        <v>26</v>
      </c>
      <c r="D7" s="2" t="n">
        <v>52</v>
      </c>
      <c r="E7" s="2">
        <f>C7*D7</f>
        <v/>
      </c>
    </row>
    <row r="8">
      <c r="A8" t="inlineStr">
        <is>
          <t>Installation</t>
        </is>
      </c>
      <c r="B8" t="inlineStr">
        <is>
          <t>Labour</t>
        </is>
      </c>
      <c r="C8" t="n">
        <v>18</v>
      </c>
      <c r="D8" s="2" t="n">
        <v>48</v>
      </c>
      <c r="E8" s="2">
        <f>C8*D8</f>
        <v/>
      </c>
    </row>
    <row r="9">
      <c r="A9" t="inlineStr">
        <is>
          <t>Snagging</t>
        </is>
      </c>
      <c r="B9" t="inlineStr">
        <is>
          <t>Labour</t>
        </is>
      </c>
      <c r="C9" t="n">
        <v>6</v>
      </c>
      <c r="D9" s="2" t="n">
        <v>45</v>
      </c>
      <c r="E9" s="2">
        <f>C9*D9</f>
        <v/>
      </c>
    </row>
    <row r="10">
      <c r="A10" t="inlineStr">
        <is>
          <t>Electrics</t>
        </is>
      </c>
      <c r="B10" t="inlineStr">
        <is>
          <t>Subcontract</t>
        </is>
      </c>
      <c r="C10" t="n">
        <v>1</v>
      </c>
      <c r="D10" s="2" t="n">
        <v>480</v>
      </c>
      <c r="E10" s="2">
        <f>C10*D10</f>
        <v/>
      </c>
    </row>
    <row r="11">
      <c r="A11" s="3" t="inlineStr">
        <is>
          <t>TOTAL COST</t>
        </is>
      </c>
      <c r="E11" s="4">
        <f>SUM(E2:E10)</f>
        <v/>
      </c>
    </row>
  </sheetData>
  <dataValidations count="1">
    <dataValidation sqref="B2:B10" showDropDown="0" showInputMessage="0" showErrorMessage="0" allowBlank="0" errorTitle="Not on the list" error="Pick a type from the list." type="list">
      <formula1>=Rates!$D$2:$D$4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3" t="inlineStr">
        <is>
          <t>What the job costs</t>
        </is>
      </c>
    </row>
    <row r="2">
      <c r="A2" t="inlineStr">
        <is>
          <t>Materials</t>
        </is>
      </c>
      <c r="B2" s="2">
        <f>SUMIF(Quote!$B$2:$B$10,"Materials",Quote!$E$2:$E$10)</f>
        <v/>
      </c>
    </row>
    <row r="3">
      <c r="A3" t="inlineStr">
        <is>
          <t>Labour</t>
        </is>
      </c>
      <c r="B3" s="2">
        <f>SUMIF(Quote!$B$2:$B$10,"Labour",Quote!$E$2:$E$10)</f>
        <v/>
      </c>
    </row>
    <row r="4">
      <c r="A4" t="inlineStr">
        <is>
          <t>Subcontract</t>
        </is>
      </c>
      <c r="B4" s="2">
        <f>SUMIF(Quote!$B$2:$B$10,"Subcontract",Quote!$E$2:$E$10)</f>
        <v/>
      </c>
    </row>
    <row r="5">
      <c r="A5" s="3" t="inlineStr">
        <is>
          <t>Total cost</t>
        </is>
      </c>
      <c r="B5" s="4">
        <f>SUM(B2:B4)</f>
        <v/>
      </c>
    </row>
    <row r="7">
      <c r="A7" t="inlineStr">
        <is>
          <t>Target margin</t>
        </is>
      </c>
      <c r="B7" s="5" t="n">
        <v>0.3</v>
      </c>
    </row>
    <row r="9">
      <c r="A9" s="3" t="inlineStr">
        <is>
          <t>The way most people price</t>
        </is>
      </c>
    </row>
    <row r="10">
      <c r="A10" t="inlineStr">
        <is>
          <t>Cost plus 30%</t>
        </is>
      </c>
      <c r="B10" s="2">
        <f>$B$5*(1+$B$7)</f>
        <v/>
      </c>
    </row>
    <row r="11">
      <c r="A11" t="inlineStr">
        <is>
          <t>Margin that actually gives</t>
        </is>
      </c>
      <c r="B11" s="6">
        <f>(B10-$B$5)/B10</f>
        <v/>
      </c>
    </row>
    <row r="12">
      <c r="A12" t="inlineStr">
        <is>
          <t>Profit</t>
        </is>
      </c>
      <c r="B12" s="2">
        <f>B10-$B$5</f>
        <v/>
      </c>
    </row>
    <row r="14">
      <c r="A14" s="3" t="inlineStr">
        <is>
          <t>Priced for the margin you wanted</t>
        </is>
      </c>
    </row>
    <row r="15">
      <c r="A15" t="inlineStr">
        <is>
          <t>Price</t>
        </is>
      </c>
      <c r="B15" s="2">
        <f>$B$5/(1-$B$7)</f>
        <v/>
      </c>
    </row>
    <row r="16">
      <c r="A16" t="inlineStr">
        <is>
          <t>Margin</t>
        </is>
      </c>
      <c r="B16" s="6">
        <f>(B15-$B$5)/B15</f>
        <v/>
      </c>
    </row>
    <row r="17">
      <c r="A17" t="inlineStr">
        <is>
          <t>Markup this needs</t>
        </is>
      </c>
      <c r="B17" s="6">
        <f>B15/$B$5-1</f>
        <v/>
      </c>
    </row>
    <row r="18">
      <c r="A18" t="inlineStr">
        <is>
          <t>Profit</t>
        </is>
      </c>
      <c r="B18" s="2">
        <f>B15-$B$5</f>
        <v/>
      </c>
    </row>
    <row r="20">
      <c r="A20" s="3" t="inlineStr">
        <is>
          <t>Left on the table by the first one</t>
        </is>
      </c>
      <c r="B20" s="4">
        <f>B15-B10</f>
        <v/>
      </c>
    </row>
    <row r="22">
      <c r="A22" s="3" t="inlineStr">
        <is>
          <t>If you discount</t>
        </is>
      </c>
    </row>
    <row r="23">
      <c r="A23" t="inlineStr">
        <is>
          <t>Discount</t>
        </is>
      </c>
      <c r="B23" s="5" t="n">
        <v>0.1</v>
      </c>
    </row>
    <row r="24">
      <c r="A24" t="inlineStr">
        <is>
          <t>Discounted price</t>
        </is>
      </c>
      <c r="B24" s="2">
        <f>B15*(1-B23)</f>
        <v/>
      </c>
    </row>
    <row r="25">
      <c r="A25" t="inlineStr">
        <is>
          <t>Margin left</t>
        </is>
      </c>
      <c r="B25" s="6">
        <f>(B24-$B$5)/B24</f>
        <v/>
      </c>
    </row>
    <row r="26">
      <c r="A26" t="inlineStr">
        <is>
          <t>Profit left</t>
        </is>
      </c>
      <c r="B26" s="2">
        <f>B24-$B$5</f>
        <v/>
      </c>
    </row>
    <row r="27">
      <c r="A27" t="inlineStr">
        <is>
          <t>Share of profit given away</t>
        </is>
      </c>
      <c r="B27" s="7">
        <f>1-B26/B18</f>
        <v/>
      </c>
    </row>
  </sheetData>
  <conditionalFormatting sqref="B20">
    <cfRule type="cellIs" priority="1" operator="greaterThan" dxfId="0">
      <formula>0</formula>
    </cfRule>
  </conditionalFormatting>
  <conditionalFormatting sqref="B27">
    <cfRule type="cellIs" priority="2" operator="greaterThan" dxfId="0">
      <formula>0.2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 That Works</dc:creator>
  <dcterms:created xmlns:dcterms="http://purl.org/dc/terms/" xmlns:xsi="http://www.w3.org/2001/XMLSchema-instance" xsi:type="dcterms:W3CDTF">2026-10-05T07:09:54Z</dcterms:created>
  <dcterms:modified xmlns:dcterms="http://purl.org/dc/terms/" xmlns:xsi="http://www.w3.org/2001/XMLSchema-instance" xsi:type="dcterms:W3CDTF">2026-10-05T07:09:54Z</dcterms:modified>
</cp:coreProperties>
</file>