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Dashboard" sheetId="2" state="visible" r:id="rId2"/>
  </sheets>
  <definedNames>
    <definedName name="Start_Date">Dashboard!$B$2</definedName>
    <definedName name="Status_Date">Dashboard!$B$3</definedName>
    <definedName name="Holidays">Dashboard!$A$6:$A$7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00000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2F75B5"/>
        </patternFill>
      </fill>
    </dxf>
    <dxf>
      <fill>
        <patternFill patternType="solid">
          <f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7" customWidth="1" min="4" max="4"/>
    <col width="10" customWidth="1" min="5" max="5"/>
    <col width="6" customWidth="1" min="6" max="6"/>
    <col width="11" customWidth="1" min="7" max="7"/>
    <col width="11" customWidth="1" min="8" max="8"/>
    <col width="8" customWidth="1" min="9" max="9"/>
    <col width="11" customWidth="1" min="10" max="10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After</t>
        </is>
      </c>
      <c r="E1" s="1" t="inlineStr">
        <is>
          <t>Also after</t>
        </is>
      </c>
      <c r="F1" s="1" t="inlineStr">
        <is>
          <t>Days</t>
        </is>
      </c>
      <c r="G1" s="1" t="inlineStr">
        <is>
          <t>Start</t>
        </is>
      </c>
      <c r="H1" s="1" t="inlineStr">
        <is>
          <t>Finish</t>
        </is>
      </c>
      <c r="I1" s="1" t="inlineStr">
        <is>
          <t>% Done</t>
        </is>
      </c>
      <c r="J1" s="1" t="inlineStr">
        <is>
          <t>Status</t>
        </is>
      </c>
      <c r="L1" s="2">
        <f>Start_Date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</row>
    <row r="2">
      <c r="A2" t="n">
        <v>1</v>
      </c>
      <c r="B2" t="inlineStr">
        <is>
          <t>Site survey</t>
        </is>
      </c>
      <c r="C2" t="inlineStr">
        <is>
          <t>Ana</t>
        </is>
      </c>
      <c r="F2" t="n">
        <v>2</v>
      </c>
      <c r="G2" s="3">
        <f>IF(AND($D2="",$E2=""),Start_Date,WORKDAY(MAX(IFERROR(INDEX($H$2:$H$13,MATCH($D2,$A$2:$A$13,0)),0),IFERROR(INDEX($H$2:$H$13,MATCH($E2,$A$2:$A$13,0)),0)),1,Holidays))</f>
        <v/>
      </c>
      <c r="H2" s="3">
        <f>WORKDAY(G2,F2-1,Holidays)</f>
        <v/>
      </c>
      <c r="I2" s="4" t="n">
        <v>1</v>
      </c>
      <c r="J2">
        <f>IF(I2&gt;=1,"Done",IF(H2&lt;Status_Date,"LATE",IF(G2&lt;=Status_Date,"In progress","Not started")))</f>
        <v/>
      </c>
    </row>
    <row r="3">
      <c r="A3" t="n">
        <v>2</v>
      </c>
      <c r="B3" t="inlineStr">
        <is>
          <t>Design sign-off</t>
        </is>
      </c>
      <c r="C3" t="inlineStr">
        <is>
          <t>Ben</t>
        </is>
      </c>
      <c r="D3" t="n">
        <v>1</v>
      </c>
      <c r="F3" t="n">
        <v>3</v>
      </c>
      <c r="G3" s="3">
        <f>IF(AND($D3="",$E3=""),Start_Date,WORKDAY(MAX(IFERROR(INDEX($H$2:$H$13,MATCH($D3,$A$2:$A$13,0)),0),IFERROR(INDEX($H$2:$H$13,MATCH($E3,$A$2:$A$13,0)),0)),1,Holidays))</f>
        <v/>
      </c>
      <c r="H3" s="3">
        <f>WORKDAY(G3,F3-1,Holidays)</f>
        <v/>
      </c>
      <c r="I3" s="4" t="n">
        <v>1</v>
      </c>
      <c r="J3">
        <f>IF(I3&gt;=1,"Done",IF(H3&lt;Status_Date,"LATE",IF(G3&lt;=Status_Date,"In progress","Not started")))</f>
        <v/>
      </c>
    </row>
    <row r="4">
      <c r="A4" t="n">
        <v>3</v>
      </c>
      <c r="B4" t="inlineStr">
        <is>
          <t>Council permit</t>
        </is>
      </c>
      <c r="C4" t="inlineStr">
        <is>
          <t>Ben</t>
        </is>
      </c>
      <c r="D4" t="n">
        <v>2</v>
      </c>
      <c r="F4" t="n">
        <v>10</v>
      </c>
      <c r="G4" s="3">
        <f>IF(AND($D4="",$E4=""),Start_Date,WORKDAY(MAX(IFERROR(INDEX($H$2:$H$13,MATCH($D4,$A$2:$A$13,0)),0),IFERROR(INDEX($H$2:$H$13,MATCH($E4,$A$2:$A$13,0)),0)),1,Holidays))</f>
        <v/>
      </c>
      <c r="H4" s="3">
        <f>WORKDAY(G4,F4-1,Holidays)</f>
        <v/>
      </c>
      <c r="I4" s="4" t="n">
        <v>1</v>
      </c>
      <c r="J4">
        <f>IF(I4&gt;=1,"Done",IF(H4&lt;Status_Date,"LATE",IF(G4&lt;=Status_Date,"In progress","Not started")))</f>
        <v/>
      </c>
    </row>
    <row r="5">
      <c r="A5" t="n">
        <v>4</v>
      </c>
      <c r="B5" t="inlineStr">
        <is>
          <t>Order equipment</t>
        </is>
      </c>
      <c r="C5" t="inlineStr">
        <is>
          <t>Ana</t>
        </is>
      </c>
      <c r="D5" t="n">
        <v>2</v>
      </c>
      <c r="F5" t="n">
        <v>1</v>
      </c>
      <c r="G5" s="3">
        <f>IF(AND($D5="",$E5=""),Start_Date,WORKDAY(MAX(IFERROR(INDEX($H$2:$H$13,MATCH($D5,$A$2:$A$13,0)),0),IFERROR(INDEX($H$2:$H$13,MATCH($E5,$A$2:$A$13,0)),0)),1,Holidays))</f>
        <v/>
      </c>
      <c r="H5" s="3">
        <f>WORKDAY(G5,F5-1,Holidays)</f>
        <v/>
      </c>
      <c r="I5" s="4" t="n">
        <v>1</v>
      </c>
      <c r="J5">
        <f>IF(I5&gt;=1,"Done",IF(H5&lt;Status_Date,"LATE",IF(G5&lt;=Status_Date,"In progress","Not started")))</f>
        <v/>
      </c>
    </row>
    <row r="6">
      <c r="A6" t="n">
        <v>5</v>
      </c>
      <c r="B6" t="inlineStr">
        <is>
          <t>Equipment lead time</t>
        </is>
      </c>
      <c r="C6" t="inlineStr">
        <is>
          <t>Ana</t>
        </is>
      </c>
      <c r="D6" t="n">
        <v>4</v>
      </c>
      <c r="F6" t="n">
        <v>28</v>
      </c>
      <c r="G6" s="3">
        <f>IF(AND($D6="",$E6=""),Start_Date,WORKDAY(MAX(IFERROR(INDEX($H$2:$H$13,MATCH($D6,$A$2:$A$13,0)),0),IFERROR(INDEX($H$2:$H$13,MATCH($E6,$A$2:$A$13,0)),0)),1,Holidays))</f>
        <v/>
      </c>
      <c r="H6" s="3">
        <f>WORKDAY(G6,F6-1,Holidays)</f>
        <v/>
      </c>
      <c r="I6" s="4" t="n">
        <v>0</v>
      </c>
      <c r="J6">
        <f>IF(I6&gt;=1,"Done",IF(H6&lt;Status_Date,"LATE",IF(G6&lt;=Status_Date,"In progress","Not started")))</f>
        <v/>
      </c>
    </row>
    <row r="7">
      <c r="A7" t="n">
        <v>6</v>
      </c>
      <c r="B7" t="inlineStr">
        <is>
          <t>Strip out</t>
        </is>
      </c>
      <c r="C7" t="inlineStr">
        <is>
          <t>Chris</t>
        </is>
      </c>
      <c r="D7" t="n">
        <v>3</v>
      </c>
      <c r="F7" t="n">
        <v>3</v>
      </c>
      <c r="G7" s="3">
        <f>IF(AND($D7="",$E7=""),Start_Date,WORKDAY(MAX(IFERROR(INDEX($H$2:$H$13,MATCH($D7,$A$2:$A$13,0)),0),IFERROR(INDEX($H$2:$H$13,MATCH($E7,$A$2:$A$13,0)),0)),1,Holidays))</f>
        <v/>
      </c>
      <c r="H7" s="3">
        <f>WORKDAY(G7,F7-1,Holidays)</f>
        <v/>
      </c>
      <c r="I7" s="4" t="n">
        <v>1</v>
      </c>
      <c r="J7">
        <f>IF(I7&gt;=1,"Done",IF(H7&lt;Status_Date,"LATE",IF(G7&lt;=Status_Date,"In progress","Not started")))</f>
        <v/>
      </c>
    </row>
    <row r="8">
      <c r="A8" t="n">
        <v>7</v>
      </c>
      <c r="B8" t="inlineStr">
        <is>
          <t>Electrics rough-in</t>
        </is>
      </c>
      <c r="C8" t="inlineStr">
        <is>
          <t>Dina</t>
        </is>
      </c>
      <c r="D8" t="n">
        <v>6</v>
      </c>
      <c r="F8" t="n">
        <v>4</v>
      </c>
      <c r="G8" s="3">
        <f>IF(AND($D8="",$E8=""),Start_Date,WORKDAY(MAX(IFERROR(INDEX($H$2:$H$13,MATCH($D8,$A$2:$A$13,0)),0),IFERROR(INDEX($H$2:$H$13,MATCH($E8,$A$2:$A$13,0)),0)),1,Holidays))</f>
        <v/>
      </c>
      <c r="H8" s="3">
        <f>WORKDAY(G8,F8-1,Holidays)</f>
        <v/>
      </c>
      <c r="I8" s="4" t="n">
        <v>0.75</v>
      </c>
      <c r="J8">
        <f>IF(I8&gt;=1,"Done",IF(H8&lt;Status_Date,"LATE",IF(G8&lt;=Status_Date,"In progress","Not started")))</f>
        <v/>
      </c>
    </row>
    <row r="9">
      <c r="A9" t="n">
        <v>8</v>
      </c>
      <c r="B9" t="inlineStr">
        <is>
          <t>Plumbing</t>
        </is>
      </c>
      <c r="C9" t="inlineStr">
        <is>
          <t>Dina</t>
        </is>
      </c>
      <c r="D9" t="n">
        <v>7</v>
      </c>
      <c r="F9" t="n">
        <v>3</v>
      </c>
      <c r="G9" s="3">
        <f>IF(AND($D9="",$E9=""),Start_Date,WORKDAY(MAX(IFERROR(INDEX($H$2:$H$13,MATCH($D9,$A$2:$A$13,0)),0),IFERROR(INDEX($H$2:$H$13,MATCH($E9,$A$2:$A$13,0)),0)),1,Holidays))</f>
        <v/>
      </c>
      <c r="H9" s="3">
        <f>WORKDAY(G9,F9-1,Holidays)</f>
        <v/>
      </c>
      <c r="I9" s="4" t="n">
        <v>0.3</v>
      </c>
      <c r="J9">
        <f>IF(I9&gt;=1,"Done",IF(H9&lt;Status_Date,"LATE",IF(G9&lt;=Status_Date,"In progress","Not started")))</f>
        <v/>
      </c>
    </row>
    <row r="10">
      <c r="A10" t="n">
        <v>9</v>
      </c>
      <c r="B10" t="inlineStr">
        <is>
          <t>Flooring</t>
        </is>
      </c>
      <c r="C10" t="inlineStr">
        <is>
          <t>Chris</t>
        </is>
      </c>
      <c r="D10" t="n">
        <v>8</v>
      </c>
      <c r="F10" t="n">
        <v>2</v>
      </c>
      <c r="G10" s="3">
        <f>IF(AND($D10="",$E10=""),Start_Date,WORKDAY(MAX(IFERROR(INDEX($H$2:$H$13,MATCH($D10,$A$2:$A$13,0)),0),IFERROR(INDEX($H$2:$H$13,MATCH($E10,$A$2:$A$13,0)),0)),1,Holidays))</f>
        <v/>
      </c>
      <c r="H10" s="3">
        <f>WORKDAY(G10,F10-1,Holidays)</f>
        <v/>
      </c>
      <c r="I10" s="4" t="n">
        <v>0</v>
      </c>
      <c r="J10">
        <f>IF(I10&gt;=1,"Done",IF(H10&lt;Status_Date,"LATE",IF(G10&lt;=Status_Date,"In progress","Not started")))</f>
        <v/>
      </c>
    </row>
    <row r="11">
      <c r="A11" t="n">
        <v>10</v>
      </c>
      <c r="B11" t="inlineStr">
        <is>
          <t>Paint and finish</t>
        </is>
      </c>
      <c r="C11" t="inlineStr">
        <is>
          <t>Chris</t>
        </is>
      </c>
      <c r="D11" t="n">
        <v>9</v>
      </c>
      <c r="F11" t="n">
        <v>3</v>
      </c>
      <c r="G11" s="3">
        <f>IF(AND($D11="",$E11=""),Start_Date,WORKDAY(MAX(IFERROR(INDEX($H$2:$H$13,MATCH($D11,$A$2:$A$13,0)),0),IFERROR(INDEX($H$2:$H$13,MATCH($E11,$A$2:$A$13,0)),0)),1,Holidays))</f>
        <v/>
      </c>
      <c r="H11" s="3">
        <f>WORKDAY(G11,F11-1,Holidays)</f>
        <v/>
      </c>
      <c r="I11" s="4" t="n">
        <v>0</v>
      </c>
      <c r="J11">
        <f>IF(I11&gt;=1,"Done",IF(H11&lt;Status_Date,"LATE",IF(G11&lt;=Status_Date,"In progress","Not started")))</f>
        <v/>
      </c>
    </row>
    <row r="12">
      <c r="A12" t="n">
        <v>11</v>
      </c>
      <c r="B12" t="inlineStr">
        <is>
          <t>Install equipment</t>
        </is>
      </c>
      <c r="C12" t="inlineStr">
        <is>
          <t>Ana</t>
        </is>
      </c>
      <c r="D12" t="n">
        <v>10</v>
      </c>
      <c r="E12" t="n">
        <v>5</v>
      </c>
      <c r="F12" t="n">
        <v>3</v>
      </c>
      <c r="G12" s="3">
        <f>IF(AND($D12="",$E12=""),Start_Date,WORKDAY(MAX(IFERROR(INDEX($H$2:$H$13,MATCH($D12,$A$2:$A$13,0)),0),IFERROR(INDEX($H$2:$H$13,MATCH($E12,$A$2:$A$13,0)),0)),1,Holidays))</f>
        <v/>
      </c>
      <c r="H12" s="3">
        <f>WORKDAY(G12,F12-1,Holidays)</f>
        <v/>
      </c>
      <c r="I12" s="4" t="n">
        <v>0</v>
      </c>
      <c r="J12">
        <f>IF(I12&gt;=1,"Done",IF(H12&lt;Status_Date,"LATE",IF(G12&lt;=Status_Date,"In progress","Not started")))</f>
        <v/>
      </c>
    </row>
    <row r="13">
      <c r="A13" t="n">
        <v>12</v>
      </c>
      <c r="B13" t="inlineStr">
        <is>
          <t>Final inspection</t>
        </is>
      </c>
      <c r="C13" t="inlineStr">
        <is>
          <t>Ben</t>
        </is>
      </c>
      <c r="D13" t="n">
        <v>11</v>
      </c>
      <c r="F13" t="n">
        <v>1</v>
      </c>
      <c r="G13" s="3">
        <f>IF(AND($D13="",$E13=""),Start_Date,WORKDAY(MAX(IFERROR(INDEX($H$2:$H$13,MATCH($D13,$A$2:$A$13,0)),0),IFERROR(INDEX($H$2:$H$13,MATCH($E13,$A$2:$A$13,0)),0)),1,Holidays))</f>
        <v/>
      </c>
      <c r="H13" s="3">
        <f>WORKDAY(G13,F13-1,Holidays)</f>
        <v/>
      </c>
      <c r="I13" s="4" t="n">
        <v>0</v>
      </c>
      <c r="J13">
        <f>IF(I13&gt;=1,"Done",IF(H13&lt;Status_Date,"LATE",IF(G13&lt;=Status_Date,"In progress","Not started")))</f>
        <v/>
      </c>
    </row>
  </sheetData>
  <conditionalFormatting sqref="L2:T13">
    <cfRule type="expression" priority="1" dxfId="0" stopIfTrue="1">
      <formula>=AND(L$1&lt;=$H2,L$1+6&gt;=$G2,$J2="LATE")</formula>
    </cfRule>
    <cfRule type="expression" priority="2" dxfId="1" stopIfTrue="1">
      <formula>=AND(L$1&lt;=$H2,L$1+6&gt;=$G2,$I2&gt;=1)</formula>
    </cfRule>
    <cfRule type="expression" priority="3" dxfId="2" stopIfTrue="1">
      <formula>=AND(L$1&lt;=$H2,L$1+6&gt;=$G2)</formula>
    </cfRule>
  </conditionalFormatting>
  <conditionalFormatting sqref="L1:T1">
    <cfRule type="expression" priority="4" dxfId="3">
      <formula>=AND(L$1&lt;=Status_Date,L$1+6&gt;=Status_Date)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" customWidth="1" min="3" max="3"/>
    <col width="22" customWidth="1" min="4" max="4"/>
    <col width="14" customWidth="1" min="5" max="5"/>
  </cols>
  <sheetData>
    <row r="1">
      <c r="A1" s="5" t="inlineStr">
        <is>
          <t>Inputs</t>
        </is>
      </c>
      <c r="D1" s="5" t="inlineStr">
        <is>
          <t>Where the job actually stands</t>
        </is>
      </c>
    </row>
    <row r="2">
      <c r="A2" t="inlineStr">
        <is>
          <t>Project start</t>
        </is>
      </c>
      <c r="B2" s="6" t="n">
        <v>46272</v>
      </c>
      <c r="D2" t="inlineStr">
        <is>
          <t>Planned finish</t>
        </is>
      </c>
      <c r="E2" s="6">
        <f>MAX(Plan!H2:H13)</f>
        <v/>
      </c>
    </row>
    <row r="3">
      <c r="A3" t="inlineStr">
        <is>
          <t>Status date</t>
        </is>
      </c>
      <c r="B3" s="6" t="n">
        <v>46303</v>
      </c>
      <c r="D3" t="inlineStr">
        <is>
          <t>Working days in plan</t>
        </is>
      </c>
      <c r="E3" s="7">
        <f>NETWORKDAYS(Start_Date,E2,Holidays)</f>
        <v/>
      </c>
    </row>
    <row r="4">
      <c r="D4" t="inlineStr">
        <is>
          <t>Working days gone</t>
        </is>
      </c>
      <c r="E4" s="7">
        <f>NETWORKDAYS(Start_Date,Status_Date,Holidays)</f>
        <v/>
      </c>
    </row>
    <row r="5">
      <c r="A5" s="5" t="inlineStr">
        <is>
          <t>Holidays</t>
        </is>
      </c>
      <c r="D5" t="inlineStr">
        <is>
          <t>Schedule elapsed</t>
        </is>
      </c>
      <c r="E5" s="8">
        <f>E4/E3</f>
        <v/>
      </c>
    </row>
    <row r="6">
      <c r="A6" s="3" t="n">
        <v>46307</v>
      </c>
      <c r="D6" t="inlineStr">
        <is>
          <t>Work complete</t>
        </is>
      </c>
      <c r="E6" s="8">
        <f>SUMPRODUCT(Plan!F2:F13,Plan!I2:I13)/SUM(Plan!F2:F13)</f>
        <v/>
      </c>
    </row>
    <row r="7">
      <c r="A7" s="3" t="n">
        <v>46337</v>
      </c>
      <c r="D7" t="inlineStr">
        <is>
          <t>Ahead / behind</t>
        </is>
      </c>
      <c r="E7" s="8">
        <f>E6-E5</f>
        <v/>
      </c>
    </row>
    <row r="8">
      <c r="D8" t="inlineStr">
        <is>
          <t>Tasks late</t>
        </is>
      </c>
      <c r="E8" s="7">
        <f>COUNTIF(Plan!J2:J13,"LATE")</f>
        <v/>
      </c>
    </row>
    <row r="9">
      <c r="D9" t="inlineStr">
        <is>
          <t>Unweighted average</t>
        </is>
      </c>
      <c r="E9" s="8">
        <f>AVERAGE(Plan!I2:I13)</f>
        <v/>
      </c>
    </row>
  </sheetData>
  <conditionalFormatting sqref="E7">
    <cfRule type="expression" priority="1" dxfId="0">
      <formula>E7&lt;0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Sheet That Works</dc:creator>
  <dcterms:created xmlns:dcterms="http://purl.org/dc/terms/" xmlns:xsi="http://www.w3.org/2001/XMLSchema-instance" xsi:type="dcterms:W3CDTF">2026-09-26T07:53:43Z</dcterms:created>
  <dcterms:modified xmlns:dcterms="http://purl.org/dc/terms/" xmlns:xsi="http://www.w3.org/2001/XMLSchema-instance" xsi:type="dcterms:W3CDTF">2026-09-26T07:53:43Z</dcterms:modified>
</cp:coreProperties>
</file>