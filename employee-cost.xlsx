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taff" sheetId="2" state="visible" r:id="rId2"/>
    <sheet xmlns:r="http://schemas.openxmlformats.org/officeDocument/2006/relationships" name="Cost" sheetId="3" state="visible" r:id="rId3"/>
  </sheets>
  <definedNames>
    <definedName name="Weeks">Inputs!$B$2</definedName>
    <definedName name="PayrollTax">Inputs!$B$3</definedName>
    <definedName name="Liability">Inputs!$B$4</definedName>
    <definedName name="Benefits">Inputs!$B$5</definedName>
    <definedName name="Kit">Inputs!$B$6</definedName>
    <definedName name="LeaveDays">Inputs!$B$7</definedName>
    <definedName name="Holidays">Inputs!$B$8</definedName>
    <definedName name="SickDays">Inputs!$B$9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i val="1"/>
      <color rgb="0080808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203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3" borderId="0" applyAlignment="1" pivotButton="0" quotePrefix="0" xfId="0">
      <alignment horizontal="center"/>
    </xf>
    <xf numFmtId="1" fontId="1" fillId="2" borderId="0" pivotButton="0" quotePrefix="0" xfId="0"/>
    <xf numFmtId="10" fontId="1" fillId="2" borderId="0" pivotButton="0" quotePrefix="0" xfId="0"/>
    <xf numFmtId="4" fontId="1" fillId="2" borderId="0" pivotButton="0" quotePrefix="0" xfId="0"/>
    <xf numFmtId="0" fontId="3" fillId="0" borderId="0" pivotButton="0" quotePrefix="0" xfId="0"/>
    <xf numFmtId="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dxfs count="1">
    <dxf>
      <font>
        <b val="1"/>
        <color rgb="00FFFFFF"/>
      </font>
      <fill>
        <patternFill patternType="solid">
          <fgColor rgb="00C0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What it is</t>
        </is>
      </c>
      <c r="B1" s="1" t="inlineStr">
        <is>
          <t>Your number</t>
        </is>
      </c>
    </row>
    <row r="2">
      <c r="A2" t="inlineStr">
        <is>
          <t>Weeks per year</t>
        </is>
      </c>
      <c r="B2" s="2" t="n">
        <v>52</v>
      </c>
    </row>
    <row r="3">
      <c r="A3" t="inlineStr">
        <is>
          <t>Employer payroll tax</t>
        </is>
      </c>
      <c r="B3" s="3" t="n">
        <v>0.0765</v>
      </c>
    </row>
    <row r="4">
      <c r="A4" t="inlineStr">
        <is>
          <t>Liability and cover</t>
        </is>
      </c>
      <c r="B4" s="3" t="n">
        <v>0.035</v>
      </c>
    </row>
    <row r="5">
      <c r="A5" t="inlineStr">
        <is>
          <t>Benefits per person / year</t>
        </is>
      </c>
      <c r="B5" s="4" t="n">
        <v>4800</v>
      </c>
    </row>
    <row r="6">
      <c r="A6" t="inlineStr">
        <is>
          <t>Equipment and phone / year</t>
        </is>
      </c>
      <c r="B6" s="4" t="n">
        <v>2400</v>
      </c>
    </row>
    <row r="7">
      <c r="A7" t="inlineStr">
        <is>
          <t>Paid leave days</t>
        </is>
      </c>
      <c r="B7" s="2" t="n">
        <v>10</v>
      </c>
    </row>
    <row r="8">
      <c r="A8" t="inlineStr">
        <is>
          <t>Public holidays</t>
        </is>
      </c>
      <c r="B8" s="2" t="n">
        <v>6</v>
      </c>
    </row>
    <row r="9">
      <c r="A9" t="inlineStr">
        <is>
          <t>Sick days allowed</t>
        </is>
      </c>
      <c r="B9" s="2" t="n">
        <v>4</v>
      </c>
    </row>
    <row r="11">
      <c r="A11" s="5" t="inlineStr">
        <is>
          <t>Every one of these is yours to set. Rates differ by country, state and trade.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3" customWidth="1" min="4" max="4"/>
    <col width="16" customWidth="1" min="5" max="5"/>
  </cols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Hourly rate</t>
        </is>
      </c>
      <c r="D1" s="1" t="inlineStr">
        <is>
          <t>Hours / week</t>
        </is>
      </c>
      <c r="E1" s="1" t="inlineStr">
        <is>
          <t>Charge-out rate</t>
        </is>
      </c>
    </row>
    <row r="2">
      <c r="A2" t="inlineStr">
        <is>
          <t>Ana Ruiz</t>
        </is>
      </c>
      <c r="B2" t="inlineStr">
        <is>
          <t>Fitter</t>
        </is>
      </c>
      <c r="C2" s="6" t="n">
        <v>22</v>
      </c>
      <c r="D2" t="n">
        <v>40</v>
      </c>
      <c r="E2" s="6" t="n">
        <v>45</v>
      </c>
    </row>
    <row r="3">
      <c r="A3" t="inlineStr">
        <is>
          <t>Ben Cole</t>
        </is>
      </c>
      <c r="B3" t="inlineStr">
        <is>
          <t>Apprentice</t>
        </is>
      </c>
      <c r="C3" s="6" t="n">
        <v>16.5</v>
      </c>
      <c r="D3" t="n">
        <v>40</v>
      </c>
      <c r="E3" s="6" t="n">
        <v>32</v>
      </c>
    </row>
    <row r="4">
      <c r="A4" t="inlineStr">
        <is>
          <t>Chris Day</t>
        </is>
      </c>
      <c r="B4" t="inlineStr">
        <is>
          <t>Lead fitter</t>
        </is>
      </c>
      <c r="C4" s="6" t="n">
        <v>28</v>
      </c>
      <c r="D4" t="n">
        <v>40</v>
      </c>
      <c r="E4" s="6" t="n">
        <v>58</v>
      </c>
    </row>
    <row r="5">
      <c r="A5" t="inlineStr">
        <is>
          <t>Dina Petrou</t>
        </is>
      </c>
      <c r="B5" t="inlineStr">
        <is>
          <t>Office</t>
        </is>
      </c>
      <c r="C5" s="6" t="n">
        <v>19</v>
      </c>
      <c r="D5" t="n">
        <v>30</v>
      </c>
      <c r="E5" s="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2" customWidth="1" min="3" max="3"/>
    <col width="12" customWidth="1" min="4" max="4"/>
    <col width="12" customWidth="1" min="5" max="5"/>
    <col width="16" customWidth="1" min="6" max="6"/>
    <col width="13" customWidth="1" min="7" max="7"/>
    <col width="18" customWidth="1" min="8" max="8"/>
    <col width="12" customWidth="1" min="9" max="9"/>
    <col width="16" customWidth="1" min="10" max="10"/>
    <col width="15" customWidth="1" min="11" max="11"/>
  </cols>
  <sheetData>
    <row r="1">
      <c r="A1" s="1" t="inlineStr">
        <is>
          <t>Name</t>
        </is>
      </c>
      <c r="B1" s="1" t="inlineStr">
        <is>
          <t>Paid hours</t>
        </is>
      </c>
      <c r="C1" s="1" t="inlineStr">
        <is>
          <t>Wage</t>
        </is>
      </c>
      <c r="D1" s="1" t="inlineStr">
        <is>
          <t>On-costs</t>
        </is>
      </c>
      <c r="E1" s="1" t="inlineStr">
        <is>
          <t>Total cost</t>
        </is>
      </c>
      <c r="F1" s="1" t="inlineStr">
        <is>
          <t>Cost / paid hour</t>
        </is>
      </c>
      <c r="G1" s="1" t="inlineStr">
        <is>
          <t>Hours worked</t>
        </is>
      </c>
      <c r="H1" s="1" t="inlineStr">
        <is>
          <t>Cost / hour worked</t>
        </is>
      </c>
      <c r="I1" s="1" t="inlineStr">
        <is>
          <t>Charge-out</t>
        </is>
      </c>
      <c r="J1" s="1" t="inlineStr">
        <is>
          <t>Margin you think</t>
        </is>
      </c>
      <c r="K1" s="1" t="inlineStr">
        <is>
          <t>Margin you get</t>
        </is>
      </c>
    </row>
    <row r="2">
      <c r="A2">
        <f>Staff!A2</f>
        <v/>
      </c>
      <c r="B2" s="7">
        <f>Staff!D2*Weeks</f>
        <v/>
      </c>
      <c r="C2" s="6">
        <f>Staff!C2*B2</f>
        <v/>
      </c>
      <c r="D2" s="6">
        <f>C2*PayrollTax+C2*Liability+Benefits+Kit</f>
        <v/>
      </c>
      <c r="E2" s="6">
        <f>C2+D2</f>
        <v/>
      </c>
      <c r="F2" s="6">
        <f>E2/B2</f>
        <v/>
      </c>
      <c r="G2" s="7">
        <f>B2-(LeaveDays+Holidays+SickDays)*(Staff!D2/5)</f>
        <v/>
      </c>
      <c r="H2" s="6">
        <f>E2/G2</f>
        <v/>
      </c>
      <c r="I2" s="6">
        <f>Staff!E2</f>
        <v/>
      </c>
      <c r="J2" s="8">
        <f>IF(I2=0,"",(I2-Staff!C2)/I2)</f>
        <v/>
      </c>
      <c r="K2" s="8">
        <f>IF(I2=0,"",(I2-H2)/I2)</f>
        <v/>
      </c>
    </row>
    <row r="3">
      <c r="A3">
        <f>Staff!A3</f>
        <v/>
      </c>
      <c r="B3" s="7">
        <f>Staff!D3*Weeks</f>
        <v/>
      </c>
      <c r="C3" s="6">
        <f>Staff!C3*B3</f>
        <v/>
      </c>
      <c r="D3" s="6">
        <f>C3*PayrollTax+C3*Liability+Benefits+Kit</f>
        <v/>
      </c>
      <c r="E3" s="6">
        <f>C3+D3</f>
        <v/>
      </c>
      <c r="F3" s="6">
        <f>E3/B3</f>
        <v/>
      </c>
      <c r="G3" s="7">
        <f>B3-(LeaveDays+Holidays+SickDays)*(Staff!D3/5)</f>
        <v/>
      </c>
      <c r="H3" s="6">
        <f>E3/G3</f>
        <v/>
      </c>
      <c r="I3" s="6">
        <f>Staff!E3</f>
        <v/>
      </c>
      <c r="J3" s="8">
        <f>IF(I3=0,"",(I3-Staff!C3)/I3)</f>
        <v/>
      </c>
      <c r="K3" s="8">
        <f>IF(I3=0,"",(I3-H3)/I3)</f>
        <v/>
      </c>
    </row>
    <row r="4">
      <c r="A4">
        <f>Staff!A4</f>
        <v/>
      </c>
      <c r="B4" s="7">
        <f>Staff!D4*Weeks</f>
        <v/>
      </c>
      <c r="C4" s="6">
        <f>Staff!C4*B4</f>
        <v/>
      </c>
      <c r="D4" s="6">
        <f>C4*PayrollTax+C4*Liability+Benefits+Kit</f>
        <v/>
      </c>
      <c r="E4" s="6">
        <f>C4+D4</f>
        <v/>
      </c>
      <c r="F4" s="6">
        <f>E4/B4</f>
        <v/>
      </c>
      <c r="G4" s="7">
        <f>B4-(LeaveDays+Holidays+SickDays)*(Staff!D4/5)</f>
        <v/>
      </c>
      <c r="H4" s="6">
        <f>E4/G4</f>
        <v/>
      </c>
      <c r="I4" s="6">
        <f>Staff!E4</f>
        <v/>
      </c>
      <c r="J4" s="8">
        <f>IF(I4=0,"",(I4-Staff!C4)/I4)</f>
        <v/>
      </c>
      <c r="K4" s="8">
        <f>IF(I4=0,"",(I4-H4)/I4)</f>
        <v/>
      </c>
    </row>
    <row r="5">
      <c r="A5">
        <f>Staff!A5</f>
        <v/>
      </c>
      <c r="B5" s="7">
        <f>Staff!D5*Weeks</f>
        <v/>
      </c>
      <c r="C5" s="6">
        <f>Staff!C5*B5</f>
        <v/>
      </c>
      <c r="D5" s="6">
        <f>C5*PayrollTax+C5*Liability+Benefits+Kit</f>
        <v/>
      </c>
      <c r="E5" s="6">
        <f>C5+D5</f>
        <v/>
      </c>
      <c r="F5" s="6">
        <f>E5/B5</f>
        <v/>
      </c>
      <c r="G5" s="7">
        <f>B5-(LeaveDays+Holidays+SickDays)*(Staff!D5/5)</f>
        <v/>
      </c>
      <c r="H5" s="6">
        <f>E5/G5</f>
        <v/>
      </c>
      <c r="I5" s="6">
        <f>Staff!E5</f>
        <v/>
      </c>
      <c r="J5" s="8">
        <f>IF(I5=0,"",(I5-Staff!C5)/I5)</f>
        <v/>
      </c>
      <c r="K5" s="8">
        <f>IF(I5=0,"",(I5-H5)/I5)</f>
        <v/>
      </c>
    </row>
    <row r="6">
      <c r="A6" s="9" t="inlineStr">
        <is>
          <t>TOTAL</t>
        </is>
      </c>
      <c r="B6" s="7" t="n"/>
      <c r="C6" s="10">
        <f>SUM(C2:C5)</f>
        <v/>
      </c>
      <c r="D6" s="10">
        <f>SUM(D2:D5)</f>
        <v/>
      </c>
      <c r="E6" s="10">
        <f>SUM(E2:E5)</f>
        <v/>
      </c>
      <c r="F6" s="6" t="n"/>
      <c r="G6" s="7" t="n"/>
      <c r="H6" s="6" t="n"/>
      <c r="I6" s="6" t="n"/>
      <c r="J6" s="8" t="n"/>
      <c r="K6" s="8" t="n"/>
    </row>
    <row r="8">
      <c r="A8" s="9" t="inlineStr">
        <is>
          <t>Uplift on the wage, per hour worked</t>
        </is>
      </c>
      <c r="B8" s="11">
        <f>H2/Staff!C2-1</f>
        <v/>
      </c>
    </row>
  </sheetData>
  <conditionalFormatting sqref="B8">
    <cfRule type="cellIs" priority="1" operator="greaterThan" dxfId="0">
      <formula>0.2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Sheet That Works</dc:creator>
  <dcterms:created xmlns:dcterms="http://purl.org/dc/terms/" xmlns:xsi="http://www.w3.org/2001/XMLSchema-instance" xsi:type="dcterms:W3CDTF">2026-10-05T09:10:34Z</dcterms:created>
  <dcterms:modified xmlns:dcterms="http://purl.org/dc/terms/" xmlns:xsi="http://www.w3.org/2001/XMLSchema-instance" xsi:type="dcterms:W3CDTF">2026-10-05T09:10:34Z</dcterms:modified>
</cp:coreProperties>
</file>