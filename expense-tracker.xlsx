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Monthly budget</t>
        </is>
      </c>
    </row>
    <row r="2">
      <c r="A2" t="inlineStr">
        <is>
          <t>Fuel</t>
        </is>
      </c>
      <c r="B2" s="2" t="n">
        <v>900</v>
      </c>
    </row>
    <row r="3">
      <c r="A3" t="inlineStr">
        <is>
          <t>Materials</t>
        </is>
      </c>
      <c r="B3" s="2" t="n">
        <v>1200</v>
      </c>
    </row>
    <row r="4">
      <c r="A4" t="inlineStr">
        <is>
          <t>Tools</t>
        </is>
      </c>
      <c r="B4" s="2" t="n">
        <v>400</v>
      </c>
    </row>
    <row r="5">
      <c r="A5" t="inlineStr">
        <is>
          <t>Van service</t>
        </is>
      </c>
      <c r="B5" s="2" t="n">
        <v>300</v>
      </c>
    </row>
    <row r="6">
      <c r="A6" t="inlineStr">
        <is>
          <t>Insurance</t>
        </is>
      </c>
      <c r="B6" s="2" t="n">
        <v>250</v>
      </c>
    </row>
    <row r="7">
      <c r="A7" t="inlineStr">
        <is>
          <t>Phone</t>
        </is>
      </c>
      <c r="B7" s="2" t="n">
        <v>80</v>
      </c>
    </row>
    <row r="8">
      <c r="A8" t="inlineStr">
        <is>
          <t>Subscriptions</t>
        </is>
      </c>
      <c r="B8" s="2" t="n">
        <v>60</v>
      </c>
    </row>
    <row r="9">
      <c r="A9" t="inlineStr">
        <is>
          <t>Parking</t>
        </is>
      </c>
      <c r="B9" s="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1" customWidth="1" min="4" max="4"/>
    <col width="9" customWidth="1" min="5" max="5"/>
    <col width="11" customWidth="1" min="6" max="6"/>
    <col width="11" customWidth="1" min="7" max="7"/>
    <col width="9" customWidth="1" min="8" max="8"/>
  </cols>
  <sheetData>
    <row r="1">
      <c r="A1" s="1" t="inlineStr">
        <is>
          <t>Date</t>
        </is>
      </c>
      <c r="B1" s="1" t="inlineStr">
        <is>
          <t>Supplier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Method</t>
        </is>
      </c>
      <c r="F1" s="1" t="inlineStr">
        <is>
          <t>Business percent</t>
        </is>
      </c>
      <c r="G1" s="1" t="inlineStr">
        <is>
          <t>Claimable</t>
        </is>
      </c>
      <c r="H1" s="1" t="inlineStr">
        <is>
          <t>Known</t>
        </is>
      </c>
    </row>
    <row r="2">
      <c r="A2" s="3" t="n">
        <v>46266</v>
      </c>
      <c r="B2" t="inlineStr">
        <is>
          <t>Shell Riverside</t>
        </is>
      </c>
      <c r="C2" t="inlineStr">
        <is>
          <t>Fuel</t>
        </is>
      </c>
      <c r="D2" s="2" t="n">
        <v>116.4</v>
      </c>
      <c r="E2" t="inlineStr">
        <is>
          <t>Card</t>
        </is>
      </c>
      <c r="F2" s="4" t="n">
        <v>1</v>
      </c>
      <c r="G2" s="2">
        <f>D2*F2</f>
        <v/>
      </c>
      <c r="H2">
        <f>IF(COUNTIF(Categories!$A$2:$A$9,$C2)=0,"CHECK","ok")</f>
        <v/>
      </c>
    </row>
    <row r="3">
      <c r="A3" s="3" t="n">
        <v>46266</v>
      </c>
      <c r="B3" t="inlineStr">
        <is>
          <t>Home Depot</t>
        </is>
      </c>
      <c r="C3" t="inlineStr">
        <is>
          <t>Materials</t>
        </is>
      </c>
      <c r="D3" s="2" t="n">
        <v>158.6</v>
      </c>
      <c r="E3" t="inlineStr">
        <is>
          <t>Card</t>
        </is>
      </c>
      <c r="F3" s="4" t="n">
        <v>1</v>
      </c>
      <c r="G3" s="2">
        <f>D3*F3</f>
        <v/>
      </c>
      <c r="H3">
        <f>IF(COUNTIF(Categories!$A$2:$A$9,$C3)=0,"CHECK","ok")</f>
        <v/>
      </c>
    </row>
    <row r="4">
      <c r="A4" s="3" t="n">
        <v>46267</v>
      </c>
      <c r="B4" t="inlineStr">
        <is>
          <t>LAZ Parking</t>
        </is>
      </c>
      <c r="C4" t="inlineStr">
        <is>
          <t>Parking</t>
        </is>
      </c>
      <c r="D4" s="2" t="n">
        <v>9.5</v>
      </c>
      <c r="E4" t="inlineStr">
        <is>
          <t>Cash</t>
        </is>
      </c>
      <c r="F4" s="4" t="n">
        <v>1</v>
      </c>
      <c r="G4" s="2">
        <f>D4*F4</f>
        <v/>
      </c>
      <c r="H4">
        <f>IF(COUNTIF(Categories!$A$2:$A$9,$C4)=0,"CHECK","ok")</f>
        <v/>
      </c>
    </row>
    <row r="5">
      <c r="A5" s="3" t="n">
        <v>46267</v>
      </c>
      <c r="B5" t="inlineStr">
        <is>
          <t>Exxon Midtown</t>
        </is>
      </c>
      <c r="C5" t="inlineStr">
        <is>
          <t>Fuel</t>
        </is>
      </c>
      <c r="D5" s="2" t="n">
        <v>120.25</v>
      </c>
      <c r="E5" t="inlineStr">
        <is>
          <t>Card</t>
        </is>
      </c>
      <c r="F5" s="4" t="n">
        <v>1</v>
      </c>
      <c r="G5" s="2">
        <f>D5*F5</f>
        <v/>
      </c>
      <c r="H5">
        <f>IF(COUNTIF(Categories!$A$2:$A$9,$C5)=0,"CHECK","ok")</f>
        <v/>
      </c>
    </row>
    <row r="6">
      <c r="A6" s="3" t="n">
        <v>46268</v>
      </c>
      <c r="B6" t="inlineStr">
        <is>
          <t>Harbor Freight</t>
        </is>
      </c>
      <c r="C6" t="inlineStr">
        <is>
          <t>Tools</t>
        </is>
      </c>
      <c r="D6" s="2" t="n">
        <v>129.99</v>
      </c>
      <c r="E6" t="inlineStr">
        <is>
          <t>Card</t>
        </is>
      </c>
      <c r="F6" s="4" t="n">
        <v>1</v>
      </c>
      <c r="G6" s="2">
        <f>D6*F6</f>
        <v/>
      </c>
      <c r="H6">
        <f>IF(COUNTIF(Categories!$A$2:$A$9,$C6)=0,"CHECK","ok")</f>
        <v/>
      </c>
    </row>
    <row r="7">
      <c r="A7" s="3" t="n">
        <v>46269</v>
      </c>
      <c r="B7" t="inlineStr">
        <is>
          <t>Shell Riverside</t>
        </is>
      </c>
      <c r="C7" t="inlineStr">
        <is>
          <t>Fuel</t>
        </is>
      </c>
      <c r="D7" s="2" t="n">
        <v>113.1</v>
      </c>
      <c r="E7" t="inlineStr">
        <is>
          <t>Card</t>
        </is>
      </c>
      <c r="F7" s="4" t="n">
        <v>1</v>
      </c>
      <c r="G7" s="2">
        <f>D7*F7</f>
        <v/>
      </c>
      <c r="H7">
        <f>IF(COUNTIF(Categories!$A$2:$A$9,$C7)=0,"CHECK","ok")</f>
        <v/>
      </c>
    </row>
    <row r="8">
      <c r="A8" s="3" t="n">
        <v>46269</v>
      </c>
      <c r="B8" t="inlineStr">
        <is>
          <t>Verizon</t>
        </is>
      </c>
      <c r="C8" t="inlineStr">
        <is>
          <t>Phone</t>
        </is>
      </c>
      <c r="D8" s="2" t="n">
        <v>42</v>
      </c>
      <c r="E8" t="inlineStr">
        <is>
          <t>DD</t>
        </is>
      </c>
      <c r="F8" s="4" t="n">
        <v>0.6</v>
      </c>
      <c r="G8" s="2">
        <f>D8*F8</f>
        <v/>
      </c>
      <c r="H8">
        <f>IF(COUNTIF(Categories!$A$2:$A$9,$C8)=0,"CHECK","ok")</f>
        <v/>
      </c>
    </row>
    <row r="9">
      <c r="A9" s="3" t="n">
        <v>46270</v>
      </c>
      <c r="B9" t="inlineStr">
        <is>
          <t>Home Depot</t>
        </is>
      </c>
      <c r="C9" t="inlineStr">
        <is>
          <t>Materials</t>
        </is>
      </c>
      <c r="D9" s="2" t="n">
        <v>124.2</v>
      </c>
      <c r="E9" t="inlineStr">
        <is>
          <t>Card</t>
        </is>
      </c>
      <c r="F9" s="4" t="n">
        <v>1</v>
      </c>
      <c r="G9" s="2">
        <f>D9*F9</f>
        <v/>
      </c>
      <c r="H9">
        <f>IF(COUNTIF(Categories!$A$2:$A$9,$C9)=0,"CHECK","ok")</f>
        <v/>
      </c>
    </row>
    <row r="10">
      <c r="A10" s="3" t="n">
        <v>46272</v>
      </c>
      <c r="B10" t="inlineStr">
        <is>
          <t>Chevron North</t>
        </is>
      </c>
      <c r="C10" t="inlineStr">
        <is>
          <t>Fuel</t>
        </is>
      </c>
      <c r="D10" s="2" t="n">
        <v>125.75</v>
      </c>
      <c r="E10" t="inlineStr">
        <is>
          <t>Card</t>
        </is>
      </c>
      <c r="F10" s="4" t="n">
        <v>1</v>
      </c>
      <c r="G10" s="2">
        <f>D10*F10</f>
        <v/>
      </c>
      <c r="H10">
        <f>IF(COUNTIF(Categories!$A$2:$A$9,$C10)=0,"CHECK","ok")</f>
        <v/>
      </c>
    </row>
    <row r="11">
      <c r="A11" s="3" t="n">
        <v>46272</v>
      </c>
      <c r="B11" t="inlineStr">
        <is>
          <t>Adobe</t>
        </is>
      </c>
      <c r="C11" t="inlineStr">
        <is>
          <t>Subscriptions</t>
        </is>
      </c>
      <c r="D11" s="2" t="n">
        <v>19.99</v>
      </c>
      <c r="E11" t="inlineStr">
        <is>
          <t>DD</t>
        </is>
      </c>
      <c r="F11" s="4" t="n">
        <v>1</v>
      </c>
      <c r="G11" s="2">
        <f>D11*F11</f>
        <v/>
      </c>
      <c r="H11">
        <f>IF(COUNTIF(Categories!$A$2:$A$9,$C11)=0,"CHECK","ok")</f>
        <v/>
      </c>
    </row>
    <row r="12">
      <c r="A12" s="3" t="n">
        <v>46273</v>
      </c>
      <c r="B12" t="inlineStr">
        <is>
          <t>Downtown Garage</t>
        </is>
      </c>
      <c r="C12" t="inlineStr">
        <is>
          <t>Parking</t>
        </is>
      </c>
      <c r="D12" s="2" t="n">
        <v>6</v>
      </c>
      <c r="E12" t="inlineStr">
        <is>
          <t>Cash</t>
        </is>
      </c>
      <c r="F12" s="4" t="n">
        <v>1</v>
      </c>
      <c r="G12" s="2">
        <f>D12*F12</f>
        <v/>
      </c>
      <c r="H12">
        <f>IF(COUNTIF(Categories!$A$2:$A$9,$C12)=0,"CHECK","ok")</f>
        <v/>
      </c>
    </row>
    <row r="13">
      <c r="A13" s="3" t="n">
        <v>46273</v>
      </c>
      <c r="B13" t="inlineStr">
        <is>
          <t>Ace Hardware</t>
        </is>
      </c>
      <c r="C13" t="inlineStr">
        <is>
          <t>Tools</t>
        </is>
      </c>
      <c r="D13" s="2" t="n">
        <v>64.5</v>
      </c>
      <c r="E13" t="inlineStr">
        <is>
          <t>Card</t>
        </is>
      </c>
      <c r="F13" s="4" t="n">
        <v>1</v>
      </c>
      <c r="G13" s="2">
        <f>D13*F13</f>
        <v/>
      </c>
      <c r="H13">
        <f>IF(COUNTIF(Categories!$A$2:$A$9,$C13)=0,"CHECK","ok")</f>
        <v/>
      </c>
    </row>
    <row r="14">
      <c r="A14" s="3" t="n">
        <v>46274</v>
      </c>
      <c r="B14" t="inlineStr">
        <is>
          <t>Exxon Midtown</t>
        </is>
      </c>
      <c r="C14" t="inlineStr">
        <is>
          <t>Fuel</t>
        </is>
      </c>
      <c r="D14" s="2" t="n">
        <v>118.9</v>
      </c>
      <c r="E14" t="inlineStr">
        <is>
          <t>Card</t>
        </is>
      </c>
      <c r="F14" s="4" t="n">
        <v>1</v>
      </c>
      <c r="G14" s="2">
        <f>D14*F14</f>
        <v/>
      </c>
      <c r="H14">
        <f>IF(COUNTIF(Categories!$A$2:$A$9,$C14)=0,"CHECK","ok")</f>
        <v/>
      </c>
    </row>
    <row r="15">
      <c r="A15" s="3" t="n">
        <v>46275</v>
      </c>
      <c r="B15" t="inlineStr">
        <is>
          <t>Home Depot</t>
        </is>
      </c>
      <c r="C15" t="inlineStr">
        <is>
          <t>Materials</t>
        </is>
      </c>
      <c r="D15" s="2" t="n">
        <v>183.35</v>
      </c>
      <c r="E15" t="inlineStr">
        <is>
          <t>Card</t>
        </is>
      </c>
      <c r="F15" s="4" t="n">
        <v>1</v>
      </c>
      <c r="G15" s="2">
        <f>D15*F15</f>
        <v/>
      </c>
      <c r="H15">
        <f>IF(COUNTIF(Categories!$A$2:$A$9,$C15)=0,"CHECK","ok")</f>
        <v/>
      </c>
    </row>
    <row r="16">
      <c r="A16" s="3" t="n">
        <v>46276</v>
      </c>
      <c r="B16" t="inlineStr">
        <is>
          <t>Firestone</t>
        </is>
      </c>
      <c r="C16" t="inlineStr">
        <is>
          <t>Van service</t>
        </is>
      </c>
      <c r="D16" s="2" t="n">
        <v>189</v>
      </c>
      <c r="E16" t="inlineStr">
        <is>
          <t>Card</t>
        </is>
      </c>
      <c r="F16" s="4" t="n">
        <v>1</v>
      </c>
      <c r="G16" s="2">
        <f>D16*F16</f>
        <v/>
      </c>
      <c r="H16">
        <f>IF(COUNTIF(Categories!$A$2:$A$9,$C16)=0,"CHECK","ok")</f>
        <v/>
      </c>
    </row>
    <row r="17">
      <c r="A17" s="3" t="n">
        <v>46276</v>
      </c>
      <c r="B17" t="inlineStr">
        <is>
          <t>Shell Riverside</t>
        </is>
      </c>
      <c r="C17" t="inlineStr">
        <is>
          <t>Fuel</t>
        </is>
      </c>
      <c r="D17" s="2" t="n">
        <v>122.6</v>
      </c>
      <c r="E17" t="inlineStr">
        <is>
          <t>Card</t>
        </is>
      </c>
      <c r="F17" s="4" t="n">
        <v>1</v>
      </c>
      <c r="G17" s="2">
        <f>D17*F17</f>
        <v/>
      </c>
      <c r="H17">
        <f>IF(COUNTIF(Categories!$A$2:$A$9,$C17)=0,"CHECK","ok")</f>
        <v/>
      </c>
    </row>
    <row r="18">
      <c r="A18" s="3" t="n">
        <v>46279</v>
      </c>
      <c r="B18" t="inlineStr">
        <is>
          <t>Lowes</t>
        </is>
      </c>
      <c r="C18" t="inlineStr">
        <is>
          <t>Materials</t>
        </is>
      </c>
      <c r="D18" s="2" t="n">
        <v>143.8</v>
      </c>
      <c r="E18" t="inlineStr">
        <is>
          <t>Card</t>
        </is>
      </c>
      <c r="F18" s="4" t="n">
        <v>1</v>
      </c>
      <c r="G18" s="2">
        <f>D18*F18</f>
        <v/>
      </c>
      <c r="H18">
        <f>IF(COUNTIF(Categories!$A$2:$A$9,$C18)=0,"CHECK","ok")</f>
        <v/>
      </c>
    </row>
    <row r="19">
      <c r="A19" s="3" t="n">
        <v>46279</v>
      </c>
      <c r="B19" t="inlineStr">
        <is>
          <t>LAZ Parking</t>
        </is>
      </c>
      <c r="C19" t="inlineStr">
        <is>
          <t>Parking</t>
        </is>
      </c>
      <c r="D19" s="2" t="n">
        <v>11</v>
      </c>
      <c r="E19" t="inlineStr">
        <is>
          <t>Cash</t>
        </is>
      </c>
      <c r="F19" s="4" t="n">
        <v>1</v>
      </c>
      <c r="G19" s="2">
        <f>D19*F19</f>
        <v/>
      </c>
      <c r="H19">
        <f>IF(COUNTIF(Categories!$A$2:$A$9,$C19)=0,"CHECK","ok")</f>
        <v/>
      </c>
    </row>
    <row r="20">
      <c r="A20" s="3" t="n">
        <v>46280</v>
      </c>
      <c r="B20" t="inlineStr">
        <is>
          <t>Chevron North</t>
        </is>
      </c>
      <c r="C20" t="inlineStr">
        <is>
          <t>Fuel</t>
        </is>
      </c>
      <c r="D20" s="2" t="n">
        <v>114.3</v>
      </c>
      <c r="E20" t="inlineStr">
        <is>
          <t>Card</t>
        </is>
      </c>
      <c r="F20" s="4" t="n">
        <v>1</v>
      </c>
      <c r="G20" s="2">
        <f>D20*F20</f>
        <v/>
      </c>
      <c r="H20">
        <f>IF(COUNTIF(Categories!$A$2:$A$9,$C20)=0,"CHECK","ok")</f>
        <v/>
      </c>
    </row>
    <row r="21">
      <c r="A21" s="3" t="n">
        <v>46280</v>
      </c>
      <c r="B21" t="inlineStr">
        <is>
          <t>State Farm</t>
        </is>
      </c>
      <c r="C21" t="inlineStr">
        <is>
          <t>Insurance</t>
        </is>
      </c>
      <c r="D21" s="2" t="n">
        <v>118</v>
      </c>
      <c r="E21" t="inlineStr">
        <is>
          <t>DD</t>
        </is>
      </c>
      <c r="F21" s="4" t="n">
        <v>1</v>
      </c>
      <c r="G21" s="2">
        <f>D21*F21</f>
        <v/>
      </c>
      <c r="H21">
        <f>IF(COUNTIF(Categories!$A$2:$A$9,$C21)=0,"CHECK","ok")</f>
        <v/>
      </c>
    </row>
    <row r="22">
      <c r="A22" s="3" t="n">
        <v>46281</v>
      </c>
      <c r="B22" t="inlineStr">
        <is>
          <t>Harbor Freight</t>
        </is>
      </c>
      <c r="C22" t="inlineStr">
        <is>
          <t>Tools</t>
        </is>
      </c>
      <c r="D22" s="2" t="n">
        <v>88.75</v>
      </c>
      <c r="E22" t="inlineStr">
        <is>
          <t>Card</t>
        </is>
      </c>
      <c r="F22" s="4" t="n">
        <v>1</v>
      </c>
      <c r="G22" s="2">
        <f>D22*F22</f>
        <v/>
      </c>
      <c r="H22">
        <f>IF(COUNTIF(Categories!$A$2:$A$9,$C22)=0,"CHECK","ok")</f>
        <v/>
      </c>
    </row>
    <row r="23">
      <c r="A23" s="3" t="n">
        <v>46282</v>
      </c>
      <c r="B23" t="inlineStr">
        <is>
          <t>Exxon Midtown</t>
        </is>
      </c>
      <c r="C23" t="inlineStr">
        <is>
          <t>Fuel</t>
        </is>
      </c>
      <c r="D23" s="2" t="n">
        <v>126.15</v>
      </c>
      <c r="E23" t="inlineStr">
        <is>
          <t>Card</t>
        </is>
      </c>
      <c r="F23" s="4" t="n">
        <v>1</v>
      </c>
      <c r="G23" s="2">
        <f>D23*F23</f>
        <v/>
      </c>
      <c r="H23">
        <f>IF(COUNTIF(Categories!$A$2:$A$9,$C23)=0,"CHECK","ok")</f>
        <v/>
      </c>
    </row>
    <row r="24">
      <c r="A24" s="3" t="n">
        <v>46283</v>
      </c>
      <c r="B24" t="inlineStr">
        <is>
          <t>Home Depot</t>
        </is>
      </c>
      <c r="C24" t="inlineStr">
        <is>
          <t>Materials</t>
        </is>
      </c>
      <c r="D24" s="2" t="n">
        <v>115.4</v>
      </c>
      <c r="E24" t="inlineStr">
        <is>
          <t>Card</t>
        </is>
      </c>
      <c r="F24" s="4" t="n">
        <v>1</v>
      </c>
      <c r="G24" s="2">
        <f>D24*F24</f>
        <v/>
      </c>
      <c r="H24">
        <f>IF(COUNTIF(Categories!$A$2:$A$9,$C24)=0,"CHECK","ok")</f>
        <v/>
      </c>
    </row>
    <row r="25">
      <c r="A25" s="3" t="n">
        <v>46283</v>
      </c>
      <c r="B25" t="inlineStr">
        <is>
          <t>Microsoft 365</t>
        </is>
      </c>
      <c r="C25" t="inlineStr">
        <is>
          <t>Subscriptions</t>
        </is>
      </c>
      <c r="D25" s="2" t="n">
        <v>12.5</v>
      </c>
      <c r="E25" t="inlineStr">
        <is>
          <t>DD</t>
        </is>
      </c>
      <c r="F25" s="4" t="n">
        <v>1</v>
      </c>
      <c r="G25" s="2">
        <f>D25*F25</f>
        <v/>
      </c>
      <c r="H25">
        <f>IF(COUNTIF(Categories!$A$2:$A$9,$C25)=0,"CHECK","ok")</f>
        <v/>
      </c>
    </row>
    <row r="26">
      <c r="A26" s="3" t="n">
        <v>46286</v>
      </c>
      <c r="B26" t="inlineStr">
        <is>
          <t>Shell Riverside</t>
        </is>
      </c>
      <c r="C26" t="inlineStr">
        <is>
          <t>Fuel</t>
        </is>
      </c>
      <c r="D26" s="2" t="n">
        <v>119.05</v>
      </c>
      <c r="E26" t="inlineStr">
        <is>
          <t>Card</t>
        </is>
      </c>
      <c r="F26" s="4" t="n">
        <v>1</v>
      </c>
      <c r="G26" s="2">
        <f>D26*F26</f>
        <v/>
      </c>
      <c r="H26">
        <f>IF(COUNTIF(Categories!$A$2:$A$9,$C26)=0,"CHECK","ok")</f>
        <v/>
      </c>
    </row>
    <row r="27">
      <c r="A27" s="3" t="n">
        <v>46286</v>
      </c>
      <c r="B27" t="inlineStr">
        <is>
          <t>Downtown Garage</t>
        </is>
      </c>
      <c r="C27" t="inlineStr">
        <is>
          <t>Parking</t>
        </is>
      </c>
      <c r="D27" s="2" t="n">
        <v>7.5</v>
      </c>
      <c r="E27" t="inlineStr">
        <is>
          <t>Cash</t>
        </is>
      </c>
      <c r="F27" s="4" t="n">
        <v>1</v>
      </c>
      <c r="G27" s="2">
        <f>D27*F27</f>
        <v/>
      </c>
      <c r="H27">
        <f>IF(COUNTIF(Categories!$A$2:$A$9,$C27)=0,"CHECK","ok")</f>
        <v/>
      </c>
    </row>
    <row r="28">
      <c r="A28" s="3" t="n">
        <v>46287</v>
      </c>
      <c r="B28" t="inlineStr">
        <is>
          <t>Lowes</t>
        </is>
      </c>
      <c r="C28" t="inlineStr">
        <is>
          <t>Materials</t>
        </is>
      </c>
      <c r="D28" s="2" t="n">
        <v>156.9</v>
      </c>
      <c r="E28" t="inlineStr">
        <is>
          <t>Card</t>
        </is>
      </c>
      <c r="F28" s="4" t="n">
        <v>1</v>
      </c>
      <c r="G28" s="2">
        <f>D28*F28</f>
        <v/>
      </c>
      <c r="H28">
        <f>IF(COUNTIF(Categories!$A$2:$A$9,$C28)=0,"CHECK","ok")</f>
        <v/>
      </c>
    </row>
    <row r="29">
      <c r="A29" s="3" t="n">
        <v>46288</v>
      </c>
      <c r="B29" t="inlineStr">
        <is>
          <t>Chevron North</t>
        </is>
      </c>
      <c r="C29" t="inlineStr">
        <is>
          <t>Fuel</t>
        </is>
      </c>
      <c r="D29" s="2" t="n">
        <v>123.45</v>
      </c>
      <c r="E29" t="inlineStr">
        <is>
          <t>Card</t>
        </is>
      </c>
      <c r="F29" s="4" t="n">
        <v>1</v>
      </c>
      <c r="G29" s="2">
        <f>D29*F29</f>
        <v/>
      </c>
      <c r="H29">
        <f>IF(COUNTIF(Categories!$A$2:$A$9,$C29)=0,"CHECK","ok")</f>
        <v/>
      </c>
    </row>
    <row r="30">
      <c r="A30" s="3" t="n">
        <v>46288</v>
      </c>
      <c r="B30" t="inlineStr">
        <is>
          <t>Ace Hardware</t>
        </is>
      </c>
      <c r="C30" t="inlineStr">
        <is>
          <t>Tools</t>
        </is>
      </c>
      <c r="D30" s="2" t="n">
        <v>57.2</v>
      </c>
      <c r="E30" t="inlineStr">
        <is>
          <t>Card</t>
        </is>
      </c>
      <c r="F30" s="4" t="n">
        <v>1</v>
      </c>
      <c r="G30" s="2">
        <f>D30*F30</f>
        <v/>
      </c>
      <c r="H30">
        <f>IF(COUNTIF(Categories!$A$2:$A$9,$C30)=0,"CHECK","ok")</f>
        <v/>
      </c>
    </row>
    <row r="31">
      <c r="A31" s="3" t="n">
        <v>46289</v>
      </c>
      <c r="B31" t="inlineStr">
        <is>
          <t>Verizon</t>
        </is>
      </c>
      <c r="C31" t="inlineStr">
        <is>
          <t>Phone</t>
        </is>
      </c>
      <c r="D31" s="2" t="n">
        <v>42</v>
      </c>
      <c r="E31" t="inlineStr">
        <is>
          <t>DD</t>
        </is>
      </c>
      <c r="F31" s="4" t="n">
        <v>0.6</v>
      </c>
      <c r="G31" s="2">
        <f>D31*F31</f>
        <v/>
      </c>
      <c r="H31">
        <f>IF(COUNTIF(Categories!$A$2:$A$9,$C31)=0,"CHECK","ok")</f>
        <v/>
      </c>
    </row>
    <row r="32">
      <c r="A32" s="3" t="n">
        <v>46290</v>
      </c>
      <c r="B32" t="inlineStr">
        <is>
          <t>Exxon Midtown</t>
        </is>
      </c>
      <c r="C32" t="inlineStr">
        <is>
          <t>Fuel</t>
        </is>
      </c>
      <c r="D32" s="2" t="n">
        <v>117.95</v>
      </c>
      <c r="E32" t="inlineStr">
        <is>
          <t>Card</t>
        </is>
      </c>
      <c r="F32" s="4" t="n">
        <v>1</v>
      </c>
      <c r="G32" s="2">
        <f>D32*F32</f>
        <v/>
      </c>
      <c r="H32">
        <f>IF(COUNTIF(Categories!$A$2:$A$9,$C32)=0,"CHECK","ok")</f>
        <v/>
      </c>
    </row>
    <row r="33">
      <c r="A33" s="3" t="n">
        <v>46290</v>
      </c>
      <c r="B33" t="inlineStr">
        <is>
          <t>Home Depot</t>
        </is>
      </c>
      <c r="C33" t="inlineStr">
        <is>
          <t>Materials</t>
        </is>
      </c>
      <c r="D33" s="2" t="n">
        <v>105.75</v>
      </c>
      <c r="E33" t="inlineStr">
        <is>
          <t>Card</t>
        </is>
      </c>
      <c r="F33" s="4" t="n">
        <v>1</v>
      </c>
      <c r="G33" s="2">
        <f>D33*F33</f>
        <v/>
      </c>
      <c r="H33">
        <f>IF(COUNTIF(Categories!$A$2:$A$9,$C33)=0,"CHECK","ok")</f>
        <v/>
      </c>
    </row>
    <row r="34">
      <c r="A34" s="3" t="n">
        <v>46293</v>
      </c>
      <c r="B34" t="inlineStr">
        <is>
          <t>Firestone</t>
        </is>
      </c>
      <c r="C34" t="inlineStr">
        <is>
          <t>Van service</t>
        </is>
      </c>
      <c r="D34" s="2" t="n">
        <v>96</v>
      </c>
      <c r="E34" t="inlineStr">
        <is>
          <t>Card</t>
        </is>
      </c>
      <c r="F34" s="4" t="n">
        <v>1</v>
      </c>
      <c r="G34" s="2">
        <f>D34*F34</f>
        <v/>
      </c>
      <c r="H34">
        <f>IF(COUNTIF(Categories!$A$2:$A$9,$C34)=0,"CHECK","ok")</f>
        <v/>
      </c>
    </row>
    <row r="35">
      <c r="A35" s="3" t="n">
        <v>46293</v>
      </c>
      <c r="B35" t="inlineStr">
        <is>
          <t>Shell Riverside</t>
        </is>
      </c>
      <c r="C35" t="inlineStr">
        <is>
          <t>Fuel</t>
        </is>
      </c>
      <c r="D35" s="2" t="n">
        <v>121.7</v>
      </c>
      <c r="E35" t="inlineStr">
        <is>
          <t>Card</t>
        </is>
      </c>
      <c r="F35" s="4" t="n">
        <v>1</v>
      </c>
      <c r="G35" s="2">
        <f>D35*F35</f>
        <v/>
      </c>
      <c r="H35">
        <f>IF(COUNTIF(Categories!$A$2:$A$9,$C35)=0,"CHECK","ok")</f>
        <v/>
      </c>
    </row>
    <row r="36">
      <c r="A36" s="3" t="n">
        <v>46294</v>
      </c>
      <c r="B36" t="inlineStr">
        <is>
          <t>LAZ Parking</t>
        </is>
      </c>
      <c r="C36" t="inlineStr">
        <is>
          <t>Parking</t>
        </is>
      </c>
      <c r="D36" s="2" t="n">
        <v>9</v>
      </c>
      <c r="E36" t="inlineStr">
        <is>
          <t>Cash</t>
        </is>
      </c>
      <c r="F36" s="4" t="n">
        <v>1</v>
      </c>
      <c r="G36" s="2">
        <f>D36*F36</f>
        <v/>
      </c>
      <c r="H36">
        <f>IF(COUNTIF(Categories!$A$2:$A$9,$C36)=0,"CHECK","ok")</f>
        <v/>
      </c>
    </row>
    <row r="37">
      <c r="A37" s="3" t="n">
        <v>46294</v>
      </c>
      <c r="B37" t="inlineStr">
        <is>
          <t>Lowes</t>
        </is>
      </c>
      <c r="C37" t="inlineStr">
        <is>
          <t>Materials</t>
        </is>
      </c>
      <c r="D37" s="2" t="n">
        <v>131.25</v>
      </c>
      <c r="E37" t="inlineStr">
        <is>
          <t>Card</t>
        </is>
      </c>
      <c r="F37" s="4" t="n">
        <v>1</v>
      </c>
      <c r="G37" s="2">
        <f>D37*F37</f>
        <v/>
      </c>
      <c r="H37">
        <f>IF(COUNTIF(Categories!$A$2:$A$9,$C37)=0,"CHECK","ok")</f>
        <v/>
      </c>
    </row>
    <row r="38">
      <c r="A38" s="3" t="n">
        <v>46295</v>
      </c>
      <c r="B38" t="inlineStr">
        <is>
          <t>Chevron North</t>
        </is>
      </c>
      <c r="C38" t="inlineStr">
        <is>
          <t>Fuel</t>
        </is>
      </c>
      <c r="D38" s="2" t="n">
        <v>127.2</v>
      </c>
      <c r="E38" t="inlineStr">
        <is>
          <t>Card</t>
        </is>
      </c>
      <c r="F38" s="4" t="n">
        <v>1</v>
      </c>
      <c r="G38" s="2">
        <f>D38*F38</f>
        <v/>
      </c>
      <c r="H38">
        <f>IF(COUNTIF(Categories!$A$2:$A$9,$C38)=0,"CHECK","ok")</f>
        <v/>
      </c>
    </row>
    <row r="39">
      <c r="A39" s="3" t="n">
        <v>46295</v>
      </c>
      <c r="B39" t="inlineStr">
        <is>
          <t>State Farm</t>
        </is>
      </c>
      <c r="C39" t="inlineStr">
        <is>
          <t>Insurance</t>
        </is>
      </c>
      <c r="D39" s="2" t="n">
        <v>118</v>
      </c>
      <c r="E39" t="inlineStr">
        <is>
          <t>DD</t>
        </is>
      </c>
      <c r="F39" s="4" t="n">
        <v>1</v>
      </c>
      <c r="G39" s="2">
        <f>D39*F39</f>
        <v/>
      </c>
      <c r="H39">
        <f>IF(COUNTIF(Categories!$A$2:$A$9,$C39)=0,"CHECK","ok")</f>
        <v/>
      </c>
    </row>
    <row r="40">
      <c r="A40" s="3" t="n">
        <v>46295</v>
      </c>
      <c r="B40" t="inlineStr">
        <is>
          <t>Harbor Freight</t>
        </is>
      </c>
      <c r="C40" t="inlineStr">
        <is>
          <t>Tools</t>
        </is>
      </c>
      <c r="D40" s="2" t="n">
        <v>73.40000000000001</v>
      </c>
      <c r="E40" t="inlineStr">
        <is>
          <t>Card</t>
        </is>
      </c>
      <c r="F40" s="4" t="n">
        <v>1</v>
      </c>
      <c r="G40" s="2">
        <f>D40*F40</f>
        <v/>
      </c>
      <c r="H40">
        <f>IF(COUNTIF(Categories!$A$2:$A$9,$C40)=0,"CHECK","ok")</f>
        <v/>
      </c>
    </row>
    <row r="41">
      <c r="A41" s="3" t="n">
        <v>46295</v>
      </c>
      <c r="B41" t="inlineStr">
        <is>
          <t>Adobe</t>
        </is>
      </c>
      <c r="C41" t="inlineStr">
        <is>
          <t>Subscriptions</t>
        </is>
      </c>
      <c r="D41" s="2" t="n">
        <v>19.99</v>
      </c>
      <c r="E41" t="inlineStr">
        <is>
          <t>DD</t>
        </is>
      </c>
      <c r="F41" s="4" t="n">
        <v>1</v>
      </c>
      <c r="G41" s="2">
        <f>D41*F41</f>
        <v/>
      </c>
      <c r="H41">
        <f>IF(COUNTIF(Categories!$A$2:$A$9,$C41)=0,"CHECK","ok")</f>
        <v/>
      </c>
    </row>
    <row r="42">
      <c r="A42" s="3" t="n">
        <v>46295</v>
      </c>
      <c r="B42" t="inlineStr">
        <is>
          <t>Home office share</t>
        </is>
      </c>
      <c r="C42" t="inlineStr">
        <is>
          <t>Phone</t>
        </is>
      </c>
      <c r="D42" s="2" t="n">
        <v>28</v>
      </c>
      <c r="E42" t="inlineStr">
        <is>
          <t>DD</t>
        </is>
      </c>
      <c r="F42" s="4" t="n">
        <v>0.5</v>
      </c>
      <c r="G42" s="2">
        <f>D42*F42</f>
        <v/>
      </c>
      <c r="H42">
        <f>IF(COUNTIF(Categories!$A$2:$A$9,$C42)=0,"CHECK","ok")</f>
        <v/>
      </c>
    </row>
  </sheetData>
  <conditionalFormatting sqref="H2:H42">
    <cfRule type="cellIs" priority="1" operator="equal" dxfId="0">
      <formula>"CHECK"</formula>
    </cfRule>
  </conditionalFormatting>
  <dataValidations count="1">
    <dataValidation sqref="C2:C42" showDropDown="0" showInputMessage="0" showErrorMessage="0" allowBlank="0" errorTitle="Not on the list" error="Pick a category from the list." type="list">
      <formula1>=Categories!$A$2:$A$9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5" customWidth="1" min="4" max="4"/>
    <col width="13" customWidth="1" min="5" max="5"/>
    <col width="14" customWidth="1" min="6" max="6"/>
  </cols>
  <sheetData>
    <row r="1">
      <c r="A1" s="1" t="inlineStr">
        <is>
          <t>Category</t>
        </is>
      </c>
      <c r="B1" s="1" t="inlineStr">
        <is>
          <t>Spend</t>
        </is>
      </c>
      <c r="C1" s="1" t="inlineStr">
        <is>
          <t>Claimable</t>
        </is>
      </c>
      <c r="D1" s="1" t="inlineStr">
        <is>
          <t>Share of spend</t>
        </is>
      </c>
      <c r="E1" s="1" t="inlineStr">
        <is>
          <t>Budget</t>
        </is>
      </c>
      <c r="F1" s="1" t="inlineStr">
        <is>
          <t>Over / under</t>
        </is>
      </c>
    </row>
    <row r="2">
      <c r="A2">
        <f>Categories!A2</f>
        <v/>
      </c>
      <c r="B2" s="2">
        <f>SUMIF(Expenses!$C$2:$C$42,$A2,Expenses!$D$2:$D$42)</f>
        <v/>
      </c>
      <c r="C2" s="2">
        <f>SUMIF(Expenses!$C$2:$C$42,$A2,Expenses!$G$2:$G$42)</f>
        <v/>
      </c>
      <c r="D2" s="5">
        <f>B2/$B$10</f>
        <v/>
      </c>
      <c r="E2" s="2">
        <f>Categories!B2</f>
        <v/>
      </c>
      <c r="F2" s="2">
        <f>B2-E2</f>
        <v/>
      </c>
    </row>
    <row r="3">
      <c r="A3">
        <f>Categories!A3</f>
        <v/>
      </c>
      <c r="B3" s="2">
        <f>SUMIF(Expenses!$C$2:$C$42,$A3,Expenses!$D$2:$D$42)</f>
        <v/>
      </c>
      <c r="C3" s="2">
        <f>SUMIF(Expenses!$C$2:$C$42,$A3,Expenses!$G$2:$G$42)</f>
        <v/>
      </c>
      <c r="D3" s="5">
        <f>B3/$B$10</f>
        <v/>
      </c>
      <c r="E3" s="2">
        <f>Categories!B3</f>
        <v/>
      </c>
      <c r="F3" s="2">
        <f>B3-E3</f>
        <v/>
      </c>
    </row>
    <row r="4">
      <c r="A4">
        <f>Categories!A4</f>
        <v/>
      </c>
      <c r="B4" s="2">
        <f>SUMIF(Expenses!$C$2:$C$42,$A4,Expenses!$D$2:$D$42)</f>
        <v/>
      </c>
      <c r="C4" s="2">
        <f>SUMIF(Expenses!$C$2:$C$42,$A4,Expenses!$G$2:$G$42)</f>
        <v/>
      </c>
      <c r="D4" s="5">
        <f>B4/$B$10</f>
        <v/>
      </c>
      <c r="E4" s="2">
        <f>Categories!B4</f>
        <v/>
      </c>
      <c r="F4" s="2">
        <f>B4-E4</f>
        <v/>
      </c>
    </row>
    <row r="5">
      <c r="A5">
        <f>Categories!A5</f>
        <v/>
      </c>
      <c r="B5" s="2">
        <f>SUMIF(Expenses!$C$2:$C$42,$A5,Expenses!$D$2:$D$42)</f>
        <v/>
      </c>
      <c r="C5" s="2">
        <f>SUMIF(Expenses!$C$2:$C$42,$A5,Expenses!$G$2:$G$42)</f>
        <v/>
      </c>
      <c r="D5" s="5">
        <f>B5/$B$10</f>
        <v/>
      </c>
      <c r="E5" s="2">
        <f>Categories!B5</f>
        <v/>
      </c>
      <c r="F5" s="2">
        <f>B5-E5</f>
        <v/>
      </c>
    </row>
    <row r="6">
      <c r="A6">
        <f>Categories!A6</f>
        <v/>
      </c>
      <c r="B6" s="2">
        <f>SUMIF(Expenses!$C$2:$C$42,$A6,Expenses!$D$2:$D$42)</f>
        <v/>
      </c>
      <c r="C6" s="2">
        <f>SUMIF(Expenses!$C$2:$C$42,$A6,Expenses!$G$2:$G$42)</f>
        <v/>
      </c>
      <c r="D6" s="5">
        <f>B6/$B$10</f>
        <v/>
      </c>
      <c r="E6" s="2">
        <f>Categories!B6</f>
        <v/>
      </c>
      <c r="F6" s="2">
        <f>B6-E6</f>
        <v/>
      </c>
    </row>
    <row r="7">
      <c r="A7">
        <f>Categories!A7</f>
        <v/>
      </c>
      <c r="B7" s="2">
        <f>SUMIF(Expenses!$C$2:$C$42,$A7,Expenses!$D$2:$D$42)</f>
        <v/>
      </c>
      <c r="C7" s="2">
        <f>SUMIF(Expenses!$C$2:$C$42,$A7,Expenses!$G$2:$G$42)</f>
        <v/>
      </c>
      <c r="D7" s="5">
        <f>B7/$B$10</f>
        <v/>
      </c>
      <c r="E7" s="2">
        <f>Categories!B7</f>
        <v/>
      </c>
      <c r="F7" s="2">
        <f>B7-E7</f>
        <v/>
      </c>
    </row>
    <row r="8">
      <c r="A8">
        <f>Categories!A8</f>
        <v/>
      </c>
      <c r="B8" s="2">
        <f>SUMIF(Expenses!$C$2:$C$42,$A8,Expenses!$D$2:$D$42)</f>
        <v/>
      </c>
      <c r="C8" s="2">
        <f>SUMIF(Expenses!$C$2:$C$42,$A8,Expenses!$G$2:$G$42)</f>
        <v/>
      </c>
      <c r="D8" s="5">
        <f>B8/$B$10</f>
        <v/>
      </c>
      <c r="E8" s="2">
        <f>Categories!B8</f>
        <v/>
      </c>
      <c r="F8" s="2">
        <f>B8-E8</f>
        <v/>
      </c>
    </row>
    <row r="9">
      <c r="A9">
        <f>Categories!A9</f>
        <v/>
      </c>
      <c r="B9" s="2">
        <f>SUMIF(Expenses!$C$2:$C$42,$A9,Expenses!$D$2:$D$42)</f>
        <v/>
      </c>
      <c r="C9" s="2">
        <f>SUMIF(Expenses!$C$2:$C$42,$A9,Expenses!$G$2:$G$42)</f>
        <v/>
      </c>
      <c r="D9" s="5">
        <f>B9/$B$10</f>
        <v/>
      </c>
      <c r="E9" s="2">
        <f>Categories!B9</f>
        <v/>
      </c>
      <c r="F9" s="2">
        <f>B9-E9</f>
        <v/>
      </c>
    </row>
    <row r="10">
      <c r="A10" s="6" t="inlineStr">
        <is>
          <t>TOTAL</t>
        </is>
      </c>
      <c r="B10" s="7">
        <f>SUM(B2:B9)</f>
        <v/>
      </c>
      <c r="C10" s="7">
        <f>SUM(C2:C9)</f>
        <v/>
      </c>
      <c r="D10" s="5" t="n"/>
      <c r="E10" s="7">
        <f>SUM(E2:E9)</f>
        <v/>
      </c>
      <c r="F10" s="7">
        <f>SUM(F2:F9)</f>
        <v/>
      </c>
    </row>
    <row r="12">
      <c r="A12" s="6" t="inlineStr">
        <is>
          <t>Rows to check</t>
        </is>
      </c>
      <c r="B12" s="6">
        <f>COUNTIF(Expenses!$H$2:$H$42,"CHECK")</f>
        <v/>
      </c>
    </row>
    <row r="13">
      <c r="A13" s="6" t="inlineStr">
        <is>
          <t>Spend in no category</t>
        </is>
      </c>
      <c r="B13" s="7">
        <f>SUM(Expenses!$D$2:$D$42)-$B$10</f>
        <v/>
      </c>
    </row>
  </sheetData>
  <conditionalFormatting sqref="B13">
    <cfRule type="cellIs" priority="1" operator="greater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Sheet That Works</dc:creator>
  <dcterms:created xmlns:dcterms="http://purl.org/dc/terms/" xmlns:xsi="http://www.w3.org/2001/XMLSchema-instance" xsi:type="dcterms:W3CDTF">2026-10-02T14:21:56Z</dcterms:created>
  <dcterms:modified xmlns:dcterms="http://purl.org/dc/terms/" xmlns:xsi="http://www.w3.org/2001/XMLSchema-instance" xsi:type="dcterms:W3CDTF">2026-10-02T14:21:56Z</dcterms:modified>
</cp:coreProperties>
</file>